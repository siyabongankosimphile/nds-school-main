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queryTables/queryTable2.xml" ContentType="application/vnd.openxmlformats-officedocument.spreadsheetml.queryTable+xml"/>
  <Override PartName="/xl/tables/table12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Applications/MAMP/htdocs/nds/wp-content/plugins/nds-school-main/assets/"/>
    </mc:Choice>
  </mc:AlternateContent>
  <xr:revisionPtr revIDLastSave="0" documentId="13_ncr:1_{09B7C965-8509-BB43-81C6-EB72B7ABE6DA}" xr6:coauthVersionLast="47" xr6:coauthVersionMax="47" xr10:uidLastSave="{00000000-0000-0000-0000-000000000000}"/>
  <bookViews>
    <workbookView xWindow="0" yWindow="500" windowWidth="28800" windowHeight="16520" activeTab="3" xr2:uid="{EFDBC768-DCDC-FD44-AE48-382145AC62ED}"/>
  </bookViews>
  <sheets>
    <sheet name="Faculties" sheetId="5" r:id="rId1"/>
    <sheet name="Programs" sheetId="7" r:id="rId2"/>
    <sheet name="Courses" sheetId="8" r:id="rId3"/>
    <sheet name="Course_Schedules" sheetId="9" r:id="rId4"/>
    <sheet name="Session_type" sheetId="18" r:id="rId5"/>
    <sheet name="Staff" sheetId="14" r:id="rId6"/>
    <sheet name="wp_nds_rooms" sheetId="17" r:id="rId7"/>
    <sheet name="Accreditation_Bodies" sheetId="2" r:id="rId8"/>
    <sheet name="Course_Accreditations" sheetId="15" r:id="rId9"/>
    <sheet name="Program_Types" sheetId="3" r:id="rId10"/>
    <sheet name="Course_Categories" sheetId="4" r:id="rId11"/>
    <sheet name="Students" sheetId="11" r:id="rId12"/>
  </sheets>
  <definedNames>
    <definedName name="acc_bodies" localSheetId="7">Accreditation_Body[]</definedName>
    <definedName name="acc_bodies">Accreditation_Body[name]</definedName>
    <definedName name="courses_list">Courses[name]</definedName>
    <definedName name="ExternalData_10" localSheetId="11" hidden="1">Students!$A$1:$I$61</definedName>
    <definedName name="ExternalData_2" localSheetId="9" hidden="1">Program_Types!$A$1:$E$8</definedName>
    <definedName name="ExternalData_3" localSheetId="10" hidden="1">'Course_Categories'!$A$1:$C$6</definedName>
    <definedName name="ExternalData_6" localSheetId="1" hidden="1">Programs!$A$1:$N$17</definedName>
    <definedName name="faculties_list">Faculties!$C$2:$C$8</definedName>
    <definedName name="pro_types">Program_Types[name]</definedName>
    <definedName name="programs_list">Table15[name]</definedName>
    <definedName name="rooms_list">Table22[name]</definedName>
    <definedName name="session_type_list">Table1[name]</definedName>
    <definedName name="staff_list">Staff!$C$2:$C$14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9" l="1"/>
  <c r="E27" i="9"/>
  <c r="I27" i="9"/>
  <c r="L27" i="9"/>
  <c r="C22" i="8"/>
  <c r="A2" i="15"/>
  <c r="A3" i="15"/>
  <c r="A2" i="2"/>
  <c r="C2" i="8"/>
  <c r="C2" i="7"/>
  <c r="A4" i="15" l="1"/>
  <c r="A5" i="15" l="1"/>
  <c r="C21" i="8"/>
  <c r="C20" i="8"/>
  <c r="C19" i="8"/>
  <c r="C17" i="7"/>
  <c r="E17" i="7"/>
  <c r="N2" i="8"/>
  <c r="E16" i="7"/>
  <c r="A2" i="5"/>
  <c r="A3" i="5" s="1"/>
  <c r="A2" i="7"/>
  <c r="A11" i="7" s="1"/>
  <c r="A2" i="9"/>
  <c r="A6" i="18"/>
  <c r="A5" i="18"/>
  <c r="A4" i="18"/>
  <c r="A3" i="18"/>
  <c r="A2" i="18"/>
  <c r="A2" i="8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A2" i="14"/>
  <c r="A3" i="2"/>
  <c r="M11" i="7" s="1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M3" i="7"/>
  <c r="M4" i="7"/>
  <c r="M5" i="7"/>
  <c r="M6" i="7"/>
  <c r="M7" i="7"/>
  <c r="M8" i="7"/>
  <c r="M9" i="7"/>
  <c r="M10" i="7"/>
  <c r="M12" i="7"/>
  <c r="M13" i="7"/>
  <c r="M14" i="7"/>
  <c r="M15" i="7"/>
  <c r="E15" i="7"/>
  <c r="C3" i="7"/>
  <c r="C4" i="7"/>
  <c r="C5" i="7"/>
  <c r="C6" i="7"/>
  <c r="E3" i="7"/>
  <c r="E4" i="7"/>
  <c r="E5" i="7"/>
  <c r="E6" i="7"/>
  <c r="C7" i="7"/>
  <c r="C8" i="7"/>
  <c r="E7" i="7"/>
  <c r="E8" i="7"/>
  <c r="E9" i="7"/>
  <c r="E10" i="7"/>
  <c r="E11" i="7"/>
  <c r="E12" i="7"/>
  <c r="E14" i="7"/>
  <c r="E13" i="7"/>
  <c r="A2" i="17"/>
  <c r="A3" i="17" s="1"/>
  <c r="I2" i="5"/>
  <c r="E2" i="7"/>
  <c r="C2" i="15" l="1"/>
  <c r="A6" i="15"/>
  <c r="A8" i="15" s="1"/>
  <c r="A7" i="15"/>
  <c r="A9" i="15" s="1"/>
  <c r="M17" i="7"/>
  <c r="C9" i="7"/>
  <c r="I3" i="5"/>
  <c r="A4" i="5"/>
  <c r="A3" i="14"/>
  <c r="A4" i="14" s="1"/>
  <c r="A5" i="14"/>
  <c r="A6" i="14" s="1"/>
  <c r="A3" i="9"/>
  <c r="A3" i="8"/>
  <c r="A4" i="2"/>
  <c r="A3" i="7"/>
  <c r="A7" i="7"/>
  <c r="A13" i="7"/>
  <c r="C2" i="9"/>
  <c r="A4" i="17"/>
  <c r="A5" i="17" s="1"/>
  <c r="C4" i="8"/>
  <c r="C3" i="8"/>
  <c r="E4" i="9"/>
  <c r="E17" i="9"/>
  <c r="E21" i="9"/>
  <c r="E2" i="9"/>
  <c r="C3" i="9" l="1"/>
  <c r="C3" i="15"/>
  <c r="M2" i="7"/>
  <c r="M16" i="7"/>
  <c r="C4" i="9"/>
  <c r="C5" i="9"/>
  <c r="C11" i="7"/>
  <c r="C10" i="7"/>
  <c r="C12" i="7"/>
  <c r="I4" i="5"/>
  <c r="C13" i="7"/>
  <c r="A5" i="5"/>
  <c r="A6" i="5" s="1"/>
  <c r="A7" i="14"/>
  <c r="E13" i="9"/>
  <c r="E25" i="9"/>
  <c r="A4" i="9"/>
  <c r="A5" i="9" s="1"/>
  <c r="A4" i="8"/>
  <c r="C4" i="15" s="1"/>
  <c r="A4" i="7"/>
  <c r="A6" i="17"/>
  <c r="A7" i="17" s="1"/>
  <c r="C6" i="9" l="1"/>
  <c r="A7" i="5"/>
  <c r="I6" i="5"/>
  <c r="C15" i="7"/>
  <c r="I5" i="5"/>
  <c r="C14" i="7"/>
  <c r="A5" i="8"/>
  <c r="A8" i="14"/>
  <c r="E7" i="9"/>
  <c r="A6" i="9"/>
  <c r="A5" i="7"/>
  <c r="A6" i="7" s="1"/>
  <c r="C5" i="8"/>
  <c r="A8" i="17"/>
  <c r="A9" i="17"/>
  <c r="C7" i="9" l="1"/>
  <c r="C5" i="15"/>
  <c r="I7" i="5"/>
  <c r="C16" i="7"/>
  <c r="A8" i="5"/>
  <c r="I8" i="5" s="1"/>
  <c r="A6" i="8"/>
  <c r="A9" i="14"/>
  <c r="A10" i="14" s="1"/>
  <c r="E16" i="9"/>
  <c r="E10" i="9"/>
  <c r="E11" i="9"/>
  <c r="E8" i="9"/>
  <c r="E24" i="9"/>
  <c r="E20" i="9"/>
  <c r="E9" i="9"/>
  <c r="E5" i="9"/>
  <c r="E14" i="9"/>
  <c r="E6" i="9"/>
  <c r="E12" i="9"/>
  <c r="E19" i="9"/>
  <c r="E18" i="9"/>
  <c r="E15" i="9"/>
  <c r="A7" i="9"/>
  <c r="A8" i="9" s="1"/>
  <c r="A9" i="9" s="1"/>
  <c r="C7" i="8"/>
  <c r="C6" i="8"/>
  <c r="A8" i="7"/>
  <c r="A9" i="7" s="1"/>
  <c r="C8" i="9" l="1"/>
  <c r="C6" i="15"/>
  <c r="A7" i="8"/>
  <c r="C7" i="15" s="1"/>
  <c r="A11" i="14"/>
  <c r="E23" i="9"/>
  <c r="A12" i="14"/>
  <c r="A13" i="14" s="1"/>
  <c r="A14" i="14" s="1"/>
  <c r="E22" i="9"/>
  <c r="E3" i="9"/>
  <c r="A10" i="9"/>
  <c r="A11" i="9" s="1"/>
  <c r="C8" i="8"/>
  <c r="A10" i="7"/>
  <c r="A12" i="7" s="1"/>
  <c r="A14" i="7" s="1"/>
  <c r="A15" i="7" s="1"/>
  <c r="A16" i="7" s="1"/>
  <c r="A8" i="8"/>
  <c r="C9" i="9"/>
  <c r="A9" i="8" l="1"/>
  <c r="C8" i="15"/>
  <c r="C18" i="8"/>
  <c r="A17" i="7"/>
  <c r="A12" i="9"/>
  <c r="E26" i="9"/>
  <c r="A13" i="9"/>
  <c r="A14" i="9" s="1"/>
  <c r="A15" i="9" s="1"/>
  <c r="A16" i="9" s="1"/>
  <c r="A17" i="9" s="1"/>
  <c r="C10" i="9"/>
  <c r="A10" i="8" l="1"/>
  <c r="C9" i="15"/>
  <c r="A18" i="9"/>
  <c r="A19" i="9"/>
  <c r="A20" i="9" s="1"/>
  <c r="A21" i="9" s="1"/>
  <c r="A22" i="9" s="1"/>
  <c r="A23" i="9" s="1"/>
  <c r="A24" i="9" s="1"/>
  <c r="A25" i="9" s="1"/>
  <c r="A26" i="9" s="1"/>
  <c r="A27" i="9" s="1"/>
  <c r="C11" i="9"/>
  <c r="C12" i="9"/>
  <c r="C13" i="9"/>
  <c r="C14" i="9"/>
  <c r="C9" i="8"/>
  <c r="C10" i="8"/>
  <c r="A11" i="8" l="1"/>
  <c r="C16" i="9"/>
  <c r="C18" i="9"/>
  <c r="C17" i="9"/>
  <c r="C15" i="9"/>
  <c r="C11" i="8"/>
  <c r="A12" i="8" l="1"/>
  <c r="A13" i="8"/>
  <c r="A14" i="8" s="1"/>
  <c r="C19" i="9"/>
  <c r="C13" i="8"/>
  <c r="C14" i="8"/>
  <c r="C12" i="8"/>
  <c r="A15" i="8" l="1"/>
  <c r="A16" i="8" s="1"/>
  <c r="A17" i="8" s="1"/>
  <c r="A18" i="8" s="1"/>
  <c r="A19" i="8" s="1"/>
  <c r="A20" i="8" s="1"/>
  <c r="A21" i="8" s="1"/>
  <c r="A22" i="8" s="1"/>
  <c r="C20" i="9"/>
  <c r="C15" i="8"/>
  <c r="C21" i="9" l="1"/>
  <c r="C16" i="8"/>
  <c r="C22" i="9" l="1"/>
  <c r="C17" i="8"/>
  <c r="C23" i="9" l="1"/>
  <c r="C24" i="9" l="1"/>
  <c r="C25" i="9"/>
  <c r="C2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DA8F26-3933-8A4F-8D60-5C1C1AAD3D6D}" keepAlive="1" name="Query - Academic_Years" description="Connection to the 'Academic_Years' query in the workbook." type="5" refreshedVersion="8" background="1" saveData="1">
    <dbPr connection="Provider=Microsoft.Mashup.OleDb.1;Data Source=$Workbook$;Location=Academic_Years;Extended Properties=&quot;&quot;" command="SELECT * FROM [Academic_Years]"/>
  </connection>
  <connection id="2" xr16:uid="{B944F555-EFB4-904E-AED0-56BCFED5F587}" keepAlive="1" name="Query - Accreditation_Bodies" description="Connection to the 'Accreditation_Bodies' query in the workbook." type="5" refreshedVersion="8" background="1" saveData="1">
    <dbPr connection="Provider=Microsoft.Mashup.OleDb.1;Data Source=$Workbook$;Location=Accreditation_Bodies;Extended Properties=&quot;&quot;" command="SELECT * FROM [Accreditation_Bodies]"/>
  </connection>
  <connection id="3" xr16:uid="{384BDB7F-FE52-F64C-AE63-5EFD7F363A1C}" keepAlive="1" name="Query - Course_Accreditations" description="Connection to the 'Course_Accreditations' query in the workbook." type="5" refreshedVersion="8" background="1" saveData="1">
    <dbPr connection="Provider=Microsoft.Mashup.OleDb.1;Data Source=$Workbook$;Location=Course_Accreditations;Extended Properties=&quot;&quot;" command="SELECT * FROM [Course_Accreditations]"/>
  </connection>
  <connection id="4" xr16:uid="{11F9C4BD-D8F1-A64A-BBEC-69F3D0FD724D}" keepAlive="1" name="Query - Course_Categories" description="Connection to the 'Course_Categories' query in the workbook." type="5" refreshedVersion="8" background="1" saveData="1">
    <dbPr connection="Provider=Microsoft.Mashup.OleDb.1;Data Source=$Workbook$;Location=Course_Categories;Extended Properties=&quot;&quot;" command="SELECT * FROM [Course_Categories]"/>
  </connection>
  <connection id="5" xr16:uid="{B83F787D-33B5-E745-A7CE-C9CDBB7DCB2D}" keepAlive="1" name="Query - Course_Prerequisites" description="Connection to the 'Course_Prerequisites' query in the workbook." type="5" refreshedVersion="0" background="1" saveData="1">
    <dbPr connection="Provider=Microsoft.Mashup.OleDb.1;Data Source=$Workbook$;Location=Course_Prerequisites;Extended Properties=&quot;&quot;" command="SELECT * FROM [Course_Prerequisites]"/>
  </connection>
  <connection id="6" xr16:uid="{0F8D5A20-6D72-724D-9A76-5FAB8722B917}" keepAlive="1" name="Query - Course_Schedules" description="Connection to the 'Course_Schedules' query in the workbook." type="5" refreshedVersion="8" background="1" saveData="1">
    <dbPr connection="Provider=Microsoft.Mashup.OleDb.1;Data Source=$Workbook$;Location=Course_Schedules;Extended Properties=&quot;&quot;" command="SELECT * FROM [Course_Schedules]"/>
  </connection>
  <connection id="7" xr16:uid="{8FDD129B-6278-2940-A470-7916480957F5}" keepAlive="1" name="Query - Courses" description="Connection to the 'Courses' query in the workbook." type="5" refreshedVersion="8" background="1" saveData="1">
    <dbPr connection="Provider=Microsoft.Mashup.OleDb.1;Data Source=$Workbook$;Location=Courses;Extended Properties=&quot;&quot;" command="SELECT * FROM [Courses]"/>
  </connection>
  <connection id="8" xr16:uid="{DFFD7CC3-E329-2B4A-9092-7D83CFF9C1DE}" keepAlive="1" name="Query - Faculties" description="Connection to the 'Faculties' query in the workbook." type="5" refreshedVersion="8" background="1" saveData="1">
    <dbPr connection="Provider=Microsoft.Mashup.OleDb.1;Data Source=$Workbook$;Location=Faculties;Extended Properties=&quot;&quot;" command="SELECT * FROM [Faculties]"/>
  </connection>
  <connection id="9" xr16:uid="{388E3544-F2D8-6647-8AF8-C1EF71C9C4B4}" keepAlive="1" name="Query - Program_Accreditations" description="Connection to the 'Program_Accreditations' query in the workbook." type="5" refreshedVersion="0" background="1" saveData="1">
    <dbPr connection="Provider=Microsoft.Mashup.OleDb.1;Data Source=$Workbook$;Location=Program_Accreditations;Extended Properties=&quot;&quot;" command="SELECT * FROM [Program_Accreditations]"/>
  </connection>
  <connection id="10" xr16:uid="{1AC51C7B-6B86-E34F-9661-DE1AE2D7531B}" keepAlive="1" name="Query - Program_Levels" description="Connection to the 'Program_Levels' query in the workbook." type="5" refreshedVersion="0" background="1" saveData="1">
    <dbPr connection="Provider=Microsoft.Mashup.OleDb.1;Data Source=$Workbook$;Location=Program_Levels;Extended Properties=&quot;&quot;" command="SELECT * FROM [Program_Levels]"/>
  </connection>
  <connection id="11" xr16:uid="{72534219-6064-B04E-9F22-6506FABCA7D3}" keepAlive="1" name="Query - Program_Types" description="Connection to the 'Program_Types' query in the workbook." type="5" refreshedVersion="8" background="1" saveData="1">
    <dbPr connection="Provider=Microsoft.Mashup.OleDb.1;Data Source=$Workbook$;Location=Program_Types;Extended Properties=&quot;&quot;" command="SELECT * FROM [Program_Types]"/>
  </connection>
  <connection id="12" xr16:uid="{B7BC9F53-0BEE-1747-A7E1-5E81E47894C9}" keepAlive="1" name="Query - Programs(1)" description="Connection to the 'Programs' query in the workbook." type="5" refreshedVersion="8" background="1" saveData="1">
    <dbPr connection="Provider=Microsoft.Mashup.OleDb.1;Data Source=$Workbook$;Location=Programs;Extended Properties=&quot;&quot;" command="SELECT * FROM [Programs]"/>
  </connection>
  <connection id="13" xr16:uid="{3E7CB5F0-5FD4-0B44-A927-02984D98226E}" keepAlive="1" name="Query - Semesters" description="Connection to the 'Semesters' query in the workbook." type="5" refreshedVersion="8" background="1" saveData="1">
    <dbPr connection="Provider=Microsoft.Mashup.OleDb.1;Data Source=$Workbook$;Location=Semesters;Extended Properties=&quot;&quot;" command="SELECT * FROM [Semesters]"/>
  </connection>
  <connection id="14" xr16:uid="{01CB64BD-7EE0-D54D-A31D-0740847AE79E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  <connection id="15" xr16:uid="{A202D043-FF09-794E-A09F-1F73C86F3D42}" keepAlive="1" name="Query - Students" description="Connection to the 'Students' query in the workbook." type="5" refreshedVersion="8" background="1" saveData="1">
    <dbPr connection="Provider=Microsoft.Mashup.OleDb.1;Data Source=$Workbook$;Location=Students;Extended Properties=&quot;&quot;" command="SELECT * FROM [Students]"/>
  </connection>
  <connection id="16" xr16:uid="{428A7975-5265-3A48-9B1A-7945C36B5BBB}" keepAlive="1" name="Query - wp_nds_rooms" description="Connection to the 'wp_nds_rooms' query in the workbook." type="5" refreshedVersion="8" background="1" saveData="1">
    <dbPr connection="Provider=Microsoft.Mashup.OleDb.1;Data Source=$Workbook$;Location=wp_nds_rooms;Extended Properties=&quot;&quot;" command="SELECT * FROM [wp_nds_rooms]"/>
  </connection>
</connections>
</file>

<file path=xl/sharedStrings.xml><?xml version="1.0" encoding="utf-8"?>
<sst xmlns="http://schemas.openxmlformats.org/spreadsheetml/2006/main" count="1045" uniqueCount="486">
  <si>
    <t>id</t>
  </si>
  <si>
    <t>name</t>
  </si>
  <si>
    <t>short_name</t>
  </si>
  <si>
    <t>description</t>
  </si>
  <si>
    <t>website_url</t>
  </si>
  <si>
    <t>contact_email</t>
  </si>
  <si>
    <t>status</t>
  </si>
  <si>
    <t>QCTO</t>
  </si>
  <si>
    <t/>
  </si>
  <si>
    <t>active</t>
  </si>
  <si>
    <t>typical_duration_years</t>
  </si>
  <si>
    <t>level</t>
  </si>
  <si>
    <t>Diploma</t>
  </si>
  <si>
    <t>undergraduate</t>
  </si>
  <si>
    <t>Bachelor's Degree</t>
  </si>
  <si>
    <t>Honours Degree</t>
  </si>
  <si>
    <t>Master's Degree</t>
  </si>
  <si>
    <t>postgraduate</t>
  </si>
  <si>
    <t>Doctor of Philosophy</t>
  </si>
  <si>
    <t>Certificate</t>
  </si>
  <si>
    <t>professional</t>
  </si>
  <si>
    <t>Short Course</t>
  </si>
  <si>
    <t>Core Course</t>
  </si>
  <si>
    <t>Elective Course</t>
  </si>
  <si>
    <t>Foundation Course</t>
  </si>
  <si>
    <t>Capstone Project</t>
  </si>
  <si>
    <t>Internship/Practicum</t>
  </si>
  <si>
    <t>code</t>
  </si>
  <si>
    <t>dean_name</t>
  </si>
  <si>
    <t>FULLTIMEQU</t>
  </si>
  <si>
    <t>Full time qualification</t>
  </si>
  <si>
    <t>PARTTIMEQU</t>
  </si>
  <si>
    <t>Part Time Qualification</t>
  </si>
  <si>
    <t>SHORTCOURS</t>
  </si>
  <si>
    <t>Short Courses</t>
  </si>
  <si>
    <t>ARPLTRADET</t>
  </si>
  <si>
    <t>ARPL-Trade Test</t>
  </si>
  <si>
    <t>HOSPITALITY</t>
  </si>
  <si>
    <t>Hospitality Faculty</t>
  </si>
  <si>
    <t>Hospitality</t>
  </si>
  <si>
    <t>Faculty for Hospitality and Culinary Arts Programs</t>
  </si>
  <si>
    <t>faculty_id</t>
  </si>
  <si>
    <t>program_type_id</t>
  </si>
  <si>
    <t>nqf_level</t>
  </si>
  <si>
    <t>total_credits</t>
  </si>
  <si>
    <t>duration_years</t>
  </si>
  <si>
    <t>accreditation_body_id</t>
  </si>
  <si>
    <t>HOS-1</t>
  </si>
  <si>
    <t>Hospitality Management</t>
  </si>
  <si>
    <t>FOO-1</t>
  </si>
  <si>
    <t>Food Preparation and Culinary Arts</t>
  </si>
  <si>
    <t>FOO-1-1</t>
  </si>
  <si>
    <t>Food and Beverage Service</t>
  </si>
  <si>
    <t>HOU-1</t>
  </si>
  <si>
    <t>Housekeeping Service</t>
  </si>
  <si>
    <t>CUL-1</t>
  </si>
  <si>
    <t>Culinary Arts and Supervision</t>
  </si>
  <si>
    <t>PAT-1</t>
  </si>
  <si>
    <t>Patisserie and Confectionery</t>
  </si>
  <si>
    <t>BAR-1</t>
  </si>
  <si>
    <t>Barista</t>
  </si>
  <si>
    <t>HOS-2</t>
  </si>
  <si>
    <t>Hospitality Management (Part Time)</t>
  </si>
  <si>
    <t>COO-3</t>
  </si>
  <si>
    <t>Cooking Courses</t>
  </si>
  <si>
    <t>CAT-3</t>
  </si>
  <si>
    <t>Catering Courses</t>
  </si>
  <si>
    <t>BAK-3</t>
  </si>
  <si>
    <t>Baking Courses</t>
  </si>
  <si>
    <t>CON-3</t>
  </si>
  <si>
    <t>Confectionary Course</t>
  </si>
  <si>
    <t>TRA-4</t>
  </si>
  <si>
    <t>Trade test - Artisan Chef</t>
  </si>
  <si>
    <t>OCHEF</t>
  </si>
  <si>
    <t>Artisan Chef Program</t>
  </si>
  <si>
    <t>program_id</t>
  </si>
  <si>
    <t>level_id</t>
  </si>
  <si>
    <t>credits</t>
  </si>
  <si>
    <t>contact_hours</t>
  </si>
  <si>
    <t>category_id</t>
  </si>
  <si>
    <t>is_required</t>
  </si>
  <si>
    <t>HOS01001</t>
  </si>
  <si>
    <t>Diploma in Introduction to the Hospitality Industry</t>
  </si>
  <si>
    <t>FOO02001</t>
  </si>
  <si>
    <t>Advanced Diploma in Culinary Arts and Supervision</t>
  </si>
  <si>
    <t>FOO02002</t>
  </si>
  <si>
    <t>Diploma Patisserie and Confectionery</t>
  </si>
  <si>
    <t>FOO03001</t>
  </si>
  <si>
    <t>Diploma Food and Beverage Service</t>
  </si>
  <si>
    <t>HOU04001</t>
  </si>
  <si>
    <t>Diploma in Housekeeping Service</t>
  </si>
  <si>
    <t>HOU04002</t>
  </si>
  <si>
    <t>Advanced Diploma in Housekeeping Service</t>
  </si>
  <si>
    <t>BAR07001</t>
  </si>
  <si>
    <t>Advanced Diploma in Barista</t>
  </si>
  <si>
    <t>COO09001</t>
  </si>
  <si>
    <t>Basic Cooking Course</t>
  </si>
  <si>
    <t>COO09002</t>
  </si>
  <si>
    <t>Advance Cooking Course</t>
  </si>
  <si>
    <t>CAT10001</t>
  </si>
  <si>
    <t>Catering Fundamentals</t>
  </si>
  <si>
    <t>BAK11001</t>
  </si>
  <si>
    <t>Basic Baking Course (Variety of doughs)</t>
  </si>
  <si>
    <t>BAK11002</t>
  </si>
  <si>
    <t>Advanced Baking Course</t>
  </si>
  <si>
    <t>BAK11003</t>
  </si>
  <si>
    <t>One day Biscuit Making</t>
  </si>
  <si>
    <t>CON12001</t>
  </si>
  <si>
    <t>Variety of Baking skills with different toppings</t>
  </si>
  <si>
    <t>TRA13001</t>
  </si>
  <si>
    <t>PC101</t>
  </si>
  <si>
    <t>Artisan Chef</t>
  </si>
  <si>
    <t>course_id</t>
  </si>
  <si>
    <t>lecturer_id</t>
  </si>
  <si>
    <t>days</t>
  </si>
  <si>
    <t>start_time</t>
  </si>
  <si>
    <t>end_time</t>
  </si>
  <si>
    <t>day_hours</t>
  </si>
  <si>
    <t>session_type</t>
  </si>
  <si>
    <t>location</t>
  </si>
  <si>
    <t>is_active</t>
  </si>
  <si>
    <t>Monday, Wednesday</t>
  </si>
  <si>
    <t>Lecture</t>
  </si>
  <si>
    <t>Friday</t>
  </si>
  <si>
    <t>Assessment</t>
  </si>
  <si>
    <t>Tuesday, Thursday</t>
  </si>
  <si>
    <t>Practical</t>
  </si>
  <si>
    <t>student_number</t>
  </si>
  <si>
    <t>wp_user_id</t>
  </si>
  <si>
    <t>first_name</t>
  </si>
  <si>
    <t>last_name</t>
  </si>
  <si>
    <t>email</t>
  </si>
  <si>
    <t>phone</t>
  </si>
  <si>
    <t>OCHEF0032G</t>
  </si>
  <si>
    <t>Princess Rethabile</t>
  </si>
  <si>
    <t>Bakhetsi</t>
  </si>
  <si>
    <t>rethabileprincess3@gmail.com</t>
  </si>
  <si>
    <t>OCHEF0033G</t>
  </si>
  <si>
    <t>Hlalanathi</t>
  </si>
  <si>
    <t>Gala</t>
  </si>
  <si>
    <t>galahlalanathi@gmail.com</t>
  </si>
  <si>
    <t>OCHEF0034G</t>
  </si>
  <si>
    <t>Mbali Fortunate</t>
  </si>
  <si>
    <t>Gaveni</t>
  </si>
  <si>
    <t>mbaligaveni040@gmail.com</t>
  </si>
  <si>
    <t>OCHEF0035G</t>
  </si>
  <si>
    <t>Dieketseng</t>
  </si>
  <si>
    <t>Hlajoane</t>
  </si>
  <si>
    <t>dhlajoane03@gmail.com</t>
  </si>
  <si>
    <t>OCHEF0036G</t>
  </si>
  <si>
    <t>Danica Hay-Leigh</t>
  </si>
  <si>
    <t>Jansen</t>
  </si>
  <si>
    <t>jansendanica7@gmail.com</t>
  </si>
  <si>
    <t>OCHEF0037G</t>
  </si>
  <si>
    <t>Lebohang Ernest</t>
  </si>
  <si>
    <t>Kaba</t>
  </si>
  <si>
    <t>kabalebohang@gmail.com</t>
  </si>
  <si>
    <t>OCHEF0038G</t>
  </si>
  <si>
    <t>Ntombizodwa</t>
  </si>
  <si>
    <t>Khasi</t>
  </si>
  <si>
    <t>khasintombizodwa@gmail.com</t>
  </si>
  <si>
    <t>OCHEF0039G</t>
  </si>
  <si>
    <t>Retshidisitswe Romeo</t>
  </si>
  <si>
    <t>Mafa</t>
  </si>
  <si>
    <t>romeomafa10@icloud.com</t>
  </si>
  <si>
    <t>OCHEF0040G</t>
  </si>
  <si>
    <t>Ntsoaki</t>
  </si>
  <si>
    <t>Maqabe</t>
  </si>
  <si>
    <t>maqabentsoaki9@gmail.com</t>
  </si>
  <si>
    <t>OCHEF0041G</t>
  </si>
  <si>
    <t>Aphelele</t>
  </si>
  <si>
    <t>Matiwane</t>
  </si>
  <si>
    <t>aphelelematiwane28@gmail.com</t>
  </si>
  <si>
    <t>OCHEF0042G</t>
  </si>
  <si>
    <t>Zanele Nomasonto</t>
  </si>
  <si>
    <t>Mbele</t>
  </si>
  <si>
    <t>zanelembele94@gmail.com</t>
  </si>
  <si>
    <t>OCHEF0043G</t>
  </si>
  <si>
    <t>Itumeleng</t>
  </si>
  <si>
    <t>Mejoana</t>
  </si>
  <si>
    <t>mejoana.itu@student.nds.example</t>
  </si>
  <si>
    <t>OCHEF0044G</t>
  </si>
  <si>
    <t>Sarah Dineo</t>
  </si>
  <si>
    <t>Minnie</t>
  </si>
  <si>
    <t>dineominnie9@gmail.com</t>
  </si>
  <si>
    <t>OCHEF0045G</t>
  </si>
  <si>
    <t>Olwethu</t>
  </si>
  <si>
    <t>Mkhwanazi</t>
  </si>
  <si>
    <t>omkhwanazi2111@gmail.com</t>
  </si>
  <si>
    <t>OCHEF0046G</t>
  </si>
  <si>
    <t>Samukele</t>
  </si>
  <si>
    <t>Mnguni</t>
  </si>
  <si>
    <t>samkelemnguni22@gmail.com</t>
  </si>
  <si>
    <t>OCHEF0047G</t>
  </si>
  <si>
    <t>Mapuleng</t>
  </si>
  <si>
    <t>Mokhema</t>
  </si>
  <si>
    <t>lebohangmokhema62@gmail.com</t>
  </si>
  <si>
    <t>OCHEF0048G</t>
  </si>
  <si>
    <t>Relebohile Motshidisi</t>
  </si>
  <si>
    <t>Morobe</t>
  </si>
  <si>
    <t>lebo9020@gmail.com</t>
  </si>
  <si>
    <t>OCHEF0049G</t>
  </si>
  <si>
    <t>Lerato</t>
  </si>
  <si>
    <t>Motloenya</t>
  </si>
  <si>
    <t>leratomotloenya13@gmail.com</t>
  </si>
  <si>
    <t>OCHEF0050G</t>
  </si>
  <si>
    <t>Neo Mankosasane</t>
  </si>
  <si>
    <t>Mpembe</t>
  </si>
  <si>
    <t>Khosieymakhosazanat@gmail.com</t>
  </si>
  <si>
    <t>OCHEF0051G</t>
  </si>
  <si>
    <t>Mpho Totius</t>
  </si>
  <si>
    <t>Mzizi</t>
  </si>
  <si>
    <t>Mphomzizi408@gmail.com</t>
  </si>
  <si>
    <t>OCHEF0052G</t>
  </si>
  <si>
    <t>Somila</t>
  </si>
  <si>
    <t>Ncaphayi</t>
  </si>
  <si>
    <t>ncaphayi.som@student.nds.example</t>
  </si>
  <si>
    <t>OCHEF0053G</t>
  </si>
  <si>
    <t>Stefan Chris</t>
  </si>
  <si>
    <t>Nehring</t>
  </si>
  <si>
    <t>sc.nehring@gmail.com</t>
  </si>
  <si>
    <t>OCHEF0054G</t>
  </si>
  <si>
    <t>Andile Shaun</t>
  </si>
  <si>
    <t>Netnou</t>
  </si>
  <si>
    <t>netnou.and@student.nds.example</t>
  </si>
  <si>
    <t>OCHEF0055G</t>
  </si>
  <si>
    <t>Rethabile Princess</t>
  </si>
  <si>
    <t>Pule</t>
  </si>
  <si>
    <t>princessbile111@gmail.com</t>
  </si>
  <si>
    <t>OCHEF0056G</t>
  </si>
  <si>
    <t>Hope Jabulile</t>
  </si>
  <si>
    <t>Radebe</t>
  </si>
  <si>
    <t>radebehope300@gmail.com</t>
  </si>
  <si>
    <t>OCHEF0057G</t>
  </si>
  <si>
    <t>Boitumelo</t>
  </si>
  <si>
    <t>radebe.boi@student.nds.example</t>
  </si>
  <si>
    <t>OCHEF0058G</t>
  </si>
  <si>
    <t>Buhle</t>
  </si>
  <si>
    <t>Sobekwa</t>
  </si>
  <si>
    <t>buhlesobekwa@gmail.com</t>
  </si>
  <si>
    <t>OCHEF0059G</t>
  </si>
  <si>
    <t>Karabo</t>
  </si>
  <si>
    <t>Thonka</t>
  </si>
  <si>
    <t>thonkakarabo49@gmail.com</t>
  </si>
  <si>
    <t>OCHEF0060G</t>
  </si>
  <si>
    <t>Mamello Patience</t>
  </si>
  <si>
    <t>Tsekahali</t>
  </si>
  <si>
    <t>tsekahalimp@gmail.com</t>
  </si>
  <si>
    <t>OCHEF0061G</t>
  </si>
  <si>
    <t>Itumeleng Hessie</t>
  </si>
  <si>
    <t>tsekahaliituhe@gmail.com</t>
  </si>
  <si>
    <t>OCHEF0001F</t>
  </si>
  <si>
    <t>Felicia Nnedimma</t>
  </si>
  <si>
    <t>Alosiobi</t>
  </si>
  <si>
    <t>alisiobifelicia2@gmail.com</t>
  </si>
  <si>
    <t>OCHEF0002F</t>
  </si>
  <si>
    <t>Mbali</t>
  </si>
  <si>
    <t>Buthelezi</t>
  </si>
  <si>
    <t>buthelezimbali@gmail.com</t>
  </si>
  <si>
    <t>OCHEF0003F</t>
  </si>
  <si>
    <t>Eunice Fundokuhle</t>
  </si>
  <si>
    <t>Dlamini</t>
  </si>
  <si>
    <t>edhlamini98@gmail.com</t>
  </si>
  <si>
    <t>OCHEF0004F</t>
  </si>
  <si>
    <t>Siwamkele</t>
  </si>
  <si>
    <t>Fukuthwa</t>
  </si>
  <si>
    <t>siwamkele04@gmail.com</t>
  </si>
  <si>
    <t>OCHEF0005F</t>
  </si>
  <si>
    <t>Mamello</t>
  </si>
  <si>
    <t>Kumalo</t>
  </si>
  <si>
    <t>khumalomamello560@gmail.com</t>
  </si>
  <si>
    <t>OCHEF0006F</t>
  </si>
  <si>
    <t>Malefa</t>
  </si>
  <si>
    <t>Lebusa</t>
  </si>
  <si>
    <t>lebusa.mal@student.nds.example</t>
  </si>
  <si>
    <t>OCHEF0007F</t>
  </si>
  <si>
    <t>Keorapetse</t>
  </si>
  <si>
    <t>Lehoko</t>
  </si>
  <si>
    <t>keorapetselehoko378@gmail.com</t>
  </si>
  <si>
    <t>OCHEF0008F</t>
  </si>
  <si>
    <t>Rethabile</t>
  </si>
  <si>
    <t>Lejone</t>
  </si>
  <si>
    <t>lejone.ret@student.nds.example</t>
  </si>
  <si>
    <t>OCHEF0009F</t>
  </si>
  <si>
    <t>Madumise</t>
  </si>
  <si>
    <t>retha751@gmail.com</t>
  </si>
  <si>
    <t>OCHEF0010F</t>
  </si>
  <si>
    <t>Mmakirileng Dorah</t>
  </si>
  <si>
    <t>Makhotla</t>
  </si>
  <si>
    <t>makhotlammakirileng@gmailcom</t>
  </si>
  <si>
    <t>OCHEF0012F</t>
  </si>
  <si>
    <t>Lerato Emily</t>
  </si>
  <si>
    <t>Mathe</t>
  </si>
  <si>
    <t>leratomate099@gmail.com</t>
  </si>
  <si>
    <t>OCHEF0013F</t>
  </si>
  <si>
    <t>Reabetsoe</t>
  </si>
  <si>
    <t>Matsapola</t>
  </si>
  <si>
    <t>matsapolareabetsoe@gmail.com</t>
  </si>
  <si>
    <t>OCHEF0014F</t>
  </si>
  <si>
    <t>Bongiwe</t>
  </si>
  <si>
    <t>Matsha</t>
  </si>
  <si>
    <t>bongiwematsha7@gmail.com</t>
  </si>
  <si>
    <t>OCHEF0015F</t>
  </si>
  <si>
    <t>Luvo</t>
  </si>
  <si>
    <t>Mlindazwe</t>
  </si>
  <si>
    <t>luvomlindazwe0@gmail.com</t>
  </si>
  <si>
    <t>OCHEF0016F</t>
  </si>
  <si>
    <t>Katleho Godwill</t>
  </si>
  <si>
    <t>Modupe</t>
  </si>
  <si>
    <t>Katlehochandrey8@gmail.com</t>
  </si>
  <si>
    <t>OCHEF0017F</t>
  </si>
  <si>
    <t>Kagiso</t>
  </si>
  <si>
    <t>Mofokeng</t>
  </si>
  <si>
    <t>Kgk928588@gail.com</t>
  </si>
  <si>
    <t>OCHEF0018F</t>
  </si>
  <si>
    <t>Nthabeleng Millicent</t>
  </si>
  <si>
    <t>mnthabeleng760@gmail.com</t>
  </si>
  <si>
    <t>OCHEF0019F</t>
  </si>
  <si>
    <t>Mpho</t>
  </si>
  <si>
    <t>mphomofokeng2014@gmail.com</t>
  </si>
  <si>
    <t>OCHEF0020F</t>
  </si>
  <si>
    <t>Puleng</t>
  </si>
  <si>
    <t>mofokeng462@gmail.com</t>
  </si>
  <si>
    <t>OCHEF0021F</t>
  </si>
  <si>
    <t>Paballo Lavonne</t>
  </si>
  <si>
    <t>Moisa</t>
  </si>
  <si>
    <t>paballom1411@gmail.com</t>
  </si>
  <si>
    <t>OCHEF0022F</t>
  </si>
  <si>
    <t>Thato</t>
  </si>
  <si>
    <t>Molaodi</t>
  </si>
  <si>
    <t>prettymolaodi260@gmail.com</t>
  </si>
  <si>
    <t>OCHEF0023F</t>
  </si>
  <si>
    <t>Betty Bessie</t>
  </si>
  <si>
    <t>Nyawuza</t>
  </si>
  <si>
    <t>nyawuza.bet@student.nds.example</t>
  </si>
  <si>
    <t>OCHEF0024F</t>
  </si>
  <si>
    <t>Comfort Sthembiso</t>
  </si>
  <si>
    <t>Phadi</t>
  </si>
  <si>
    <t>phadi.com@student.nds.example</t>
  </si>
  <si>
    <t>OCHEF0025F</t>
  </si>
  <si>
    <t>Rammai</t>
  </si>
  <si>
    <t>mphorammai27@gmail.com</t>
  </si>
  <si>
    <t>OCHEF0026F</t>
  </si>
  <si>
    <t>David Samente</t>
  </si>
  <si>
    <t>Sibusiso</t>
  </si>
  <si>
    <t>Sibusisosamente@moov.life</t>
  </si>
  <si>
    <t>OCHEF0027F</t>
  </si>
  <si>
    <t>Ndosi</t>
  </si>
  <si>
    <t>Sibaya</t>
  </si>
  <si>
    <t>Ndosiiannah69@gmail.com</t>
  </si>
  <si>
    <t>OCHEF0028F</t>
  </si>
  <si>
    <t>Lerato Natasha</t>
  </si>
  <si>
    <t>Tala</t>
  </si>
  <si>
    <t>leratotala6@gmail.com</t>
  </si>
  <si>
    <t>OCHEF0029F</t>
  </si>
  <si>
    <t>Refiloe</t>
  </si>
  <si>
    <t>Tau</t>
  </si>
  <si>
    <t>tau.ref@student.nds.example</t>
  </si>
  <si>
    <t>OCHEF0030F</t>
  </si>
  <si>
    <t>Lerato Angela</t>
  </si>
  <si>
    <t>Thapedi</t>
  </si>
  <si>
    <t>leratoangelathapedi@gmail.com</t>
  </si>
  <si>
    <t>OCHEF0031F</t>
  </si>
  <si>
    <t>Kevin Kamohelo</t>
  </si>
  <si>
    <t>Tsehle</t>
  </si>
  <si>
    <t>kevintsehle18@gmail.com</t>
  </si>
  <si>
    <t>user_id</t>
  </si>
  <si>
    <t>role</t>
  </si>
  <si>
    <t>Lebogang</t>
  </si>
  <si>
    <t>Lekotokoto</t>
  </si>
  <si>
    <t>Lebogang@ndsacademy.co.za</t>
  </si>
  <si>
    <t>Lecturer</t>
  </si>
  <si>
    <t>Tshepiso</t>
  </si>
  <si>
    <t>Tunzi</t>
  </si>
  <si>
    <t>MrsTshepiso@ndsacademy.co.za</t>
  </si>
  <si>
    <t>Estelle</t>
  </si>
  <si>
    <t>Holtzhausen</t>
  </si>
  <si>
    <t>MrsEstelle@ndsacademy.co.za</t>
  </si>
  <si>
    <t>Pontsho</t>
  </si>
  <si>
    <t>Mogiwa</t>
  </si>
  <si>
    <t>MrsPontsho@ndsacademy.co.za</t>
  </si>
  <si>
    <t>Jacobus</t>
  </si>
  <si>
    <t>Sutton</t>
  </si>
  <si>
    <t>MrJacobus@ndsacademy.co.za</t>
  </si>
  <si>
    <t>Lwethu</t>
  </si>
  <si>
    <t>Htlatswayo</t>
  </si>
  <si>
    <t>MsLwethu@ndsacademy.co.za</t>
  </si>
  <si>
    <t>Nseya</t>
  </si>
  <si>
    <t>Tshitundui</t>
  </si>
  <si>
    <t>MsNseya@ndsacademy.co.za</t>
  </si>
  <si>
    <t>Mpuse</t>
  </si>
  <si>
    <t>MrsMpuse@ndsacademy.co.za</t>
  </si>
  <si>
    <t>Irene</t>
  </si>
  <si>
    <t>Xaba</t>
  </si>
  <si>
    <t>MsIrene@ndsacademy.co.za</t>
  </si>
  <si>
    <t>Thabo</t>
  </si>
  <si>
    <t>Molefe</t>
  </si>
  <si>
    <t>MrThabo@ndsacademy.co.za</t>
  </si>
  <si>
    <t>Head Chef</t>
  </si>
  <si>
    <t>Sarah</t>
  </si>
  <si>
    <t>Johnson</t>
  </si>
  <si>
    <t>MsSarah@ndsacademy.co.za</t>
  </si>
  <si>
    <t>Administrator</t>
  </si>
  <si>
    <t>David</t>
  </si>
  <si>
    <t>Nkomo</t>
  </si>
  <si>
    <t>MrDavid@ndsacademy.co.za</t>
  </si>
  <si>
    <t>Program Coordinator</t>
  </si>
  <si>
    <t>accreditation_number</t>
  </si>
  <si>
    <t>accreditation_date</t>
  </si>
  <si>
    <t>expiry_date</t>
  </si>
  <si>
    <t>display_label</t>
  </si>
  <si>
    <t>Faculty_Name_ignore</t>
  </si>
  <si>
    <t>program_name_ignore</t>
  </si>
  <si>
    <t>type</t>
  </si>
  <si>
    <t>capacity</t>
  </si>
  <si>
    <t>equipment</t>
  </si>
  <si>
    <t>amenities</t>
  </si>
  <si>
    <t>created_at</t>
  </si>
  <si>
    <t>updated_at</t>
  </si>
  <si>
    <t>HALL-001</t>
  </si>
  <si>
    <t>Main Hall</t>
  </si>
  <si>
    <t>hall</t>
  </si>
  <si>
    <t>Ground Floor</t>
  </si>
  <si>
    <t>Projector, Sound System, Stage</t>
  </si>
  <si>
    <t>Air Conditioning, WiFi</t>
  </si>
  <si>
    <t>CLASS-001</t>
  </si>
  <si>
    <t>Classroom 1</t>
  </si>
  <si>
    <t>classroom</t>
  </si>
  <si>
    <t>First Floor</t>
  </si>
  <si>
    <t>Whiteboard, Projector</t>
  </si>
  <si>
    <t>Air Conditioning</t>
  </si>
  <si>
    <t>CLASS-002</t>
  </si>
  <si>
    <t>Classroom 2</t>
  </si>
  <si>
    <t>CLASS-003</t>
  </si>
  <si>
    <t>Classroom 3</t>
  </si>
  <si>
    <t>Second Floor</t>
  </si>
  <si>
    <t>KITCHEN-001</t>
  </si>
  <si>
    <t>Kitchen 1 - Main Training Kitchen</t>
  </si>
  <si>
    <t>kitchen</t>
  </si>
  <si>
    <t>Commercial Ovens, Stovetops, Prep Stations, Refrigeration</t>
  </si>
  <si>
    <t>Ventilation System, Safety Equipment</t>
  </si>
  <si>
    <t>KITCHEN-002</t>
  </si>
  <si>
    <t>Kitchen 2 - Pastry Lab</t>
  </si>
  <si>
    <t>Pastry Equipment, Mixers, Ovens, Chilling Units</t>
  </si>
  <si>
    <t>KITCHEN-003</t>
  </si>
  <si>
    <t>Kitchen 3 - Advanced Techniques</t>
  </si>
  <si>
    <t>Sous Vide, Smokers, Specialty Equipment</t>
  </si>
  <si>
    <t>KITCHEN-004</t>
  </si>
  <si>
    <t>Kitchen 4 - Butchery &amp; Prep</t>
  </si>
  <si>
    <t>Butchery Equipment, Prep Tables, Cold Storage</t>
  </si>
  <si>
    <t>Lecture_name_ignore</t>
  </si>
  <si>
    <t>program_type_name_ignore</t>
  </si>
  <si>
    <t>Course_Name_ignore</t>
  </si>
  <si>
    <t>Room_Id</t>
  </si>
  <si>
    <t>Room_Name_Ignore</t>
  </si>
  <si>
    <t>course_name_ignore</t>
  </si>
  <si>
    <t>accrediting_body_ignore</t>
  </si>
  <si>
    <t>CATHSETA</t>
  </si>
  <si>
    <t>International</t>
  </si>
  <si>
    <t>sadad</t>
  </si>
  <si>
    <t>wedfwef</t>
  </si>
  <si>
    <t>Trade Test</t>
  </si>
  <si>
    <t>asdasdas</t>
  </si>
  <si>
    <t>ADFADFADF</t>
  </si>
  <si>
    <t>FBXVBV XVB</t>
  </si>
  <si>
    <t>CXVB XCVB CXVBCXVBCXB</t>
  </si>
  <si>
    <t>SADFVD323232323FGDSFG</t>
  </si>
  <si>
    <t>dsvfsf</t>
  </si>
  <si>
    <t>dvsdfvdsfvdz</t>
  </si>
  <si>
    <t>adfewf</t>
  </si>
  <si>
    <t>2efecfer</t>
  </si>
  <si>
    <t>Column1</t>
  </si>
  <si>
    <t>89j89h9</t>
  </si>
  <si>
    <t>98uh98h</t>
  </si>
  <si>
    <t>9u8h89h</t>
  </si>
  <si>
    <t>uwebx9weubxwe9u</t>
  </si>
  <si>
    <t>mio</t>
  </si>
  <si>
    <t>uionbi8bo98</t>
  </si>
  <si>
    <t>d133</t>
  </si>
  <si>
    <t>r3v3rwvrvr3v</t>
  </si>
  <si>
    <t>r42</t>
  </si>
  <si>
    <t>3rfr3f</t>
  </si>
  <si>
    <t>3g5g5g</t>
  </si>
  <si>
    <t>g4ttggte</t>
  </si>
  <si>
    <t>889h99</t>
  </si>
  <si>
    <t>90i0909i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</si>
</sst>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3"/>
      <color rgb="FF44444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3" borderId="0" xfId="0" applyFont="1" applyFill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22" fontId="0" fillId="2" borderId="1" xfId="0" applyNumberFormat="1" applyFill="1" applyBorder="1"/>
    <xf numFmtId="22" fontId="0" fillId="0" borderId="1" xfId="0" applyNumberFormat="1" applyBorder="1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4" fillId="0" borderId="0" xfId="0" applyFont="1"/>
    <xf numFmtId="0" fontId="5" fillId="0" borderId="0" xfId="0" applyFont="1"/>
    <xf numFmtId="0" fontId="1" fillId="5" borderId="3" xfId="0" applyFont="1" applyFill="1" applyBorder="1"/>
    <xf numFmtId="0" fontId="0" fillId="5" borderId="3" xfId="0" applyFill="1" applyBorder="1"/>
    <xf numFmtId="164" fontId="0" fillId="5" borderId="3" xfId="0" applyNumberFormat="1" applyFill="1" applyBorder="1"/>
    <xf numFmtId="0" fontId="1" fillId="0" borderId="3" xfId="0" applyFont="1" applyBorder="1"/>
    <xf numFmtId="0" fontId="0" fillId="0" borderId="3" xfId="0" applyBorder="1"/>
    <xf numFmtId="164" fontId="0" fillId="0" borderId="3" xfId="0" applyNumberFormat="1" applyBorder="1"/>
    <xf numFmtId="0" fontId="2" fillId="4" borderId="0" xfId="0" applyFont="1" applyFill="1"/>
    <xf numFmtId="0" fontId="0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2" fillId="3" borderId="0" xfId="0" applyFont="1" applyFill="1" applyBorder="1"/>
    <xf numFmtId="0" fontId="0" fillId="2" borderId="1" xfId="0" applyNumberFormat="1" applyFont="1" applyFill="1" applyBorder="1"/>
    <xf numFmtId="0" fontId="0" fillId="0" borderId="0" xfId="0" applyNumberFormat="1" applyFont="1" applyFill="1" applyAlignment="1">
      <alignment horizontal="left" vertical="top"/>
    </xf>
    <xf numFmtId="0" fontId="0" fillId="0" borderId="2" xfId="0" applyFont="1" applyFill="1" applyBorder="1" applyAlignment="1">
      <alignment horizontal="left" vertical="top"/>
    </xf>
    <xf numFmtId="0" fontId="0" fillId="0" borderId="0" xfId="0" applyFont="1" applyFill="1" applyAlignment="1">
      <alignment horizontal="center" vertical="top"/>
    </xf>
    <xf numFmtId="0" fontId="0" fillId="0" borderId="0" xfId="0" applyFont="1" applyFill="1" applyAlignment="1">
      <alignment horizontal="left" vertical="top"/>
    </xf>
    <xf numFmtId="0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/>
    <xf numFmtId="0" fontId="2" fillId="0" borderId="0" xfId="0" applyFont="1" applyFill="1"/>
    <xf numFmtId="0" fontId="0" fillId="5" borderId="3" xfId="0" applyFont="1" applyFill="1" applyBorder="1"/>
    <xf numFmtId="164" fontId="0" fillId="5" borderId="3" xfId="0" applyNumberFormat="1" applyFont="1" applyFill="1" applyBorder="1"/>
  </cellXfs>
  <cellStyles count="1">
    <cellStyle name="Normal" xfId="0" builtinId="0"/>
  </cellStyles>
  <dxfs count="1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7" formatCode="yyyy/mm/dd\ hh:m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7" formatCode="yyyy/mm/dd\ hh:m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[$-F400]h:mm:ss\ AM/P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[$-F400]h:mm:ss\ AM/P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[$-F400]h:mm:ss\ AM/P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7EC8D1ED-BA3B-834A-9AF9-FB17C7F85D1D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ame" tableColumnId="2"/>
      <queryTableField id="3" name="description" tableColumnId="3"/>
      <queryTableField id="4" name="typical_duration_years" tableColumnId="4"/>
      <queryTableField id="5" name="level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B3BC2727-9DFB-CA49-B974-43A2D178195F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ame" tableColumnId="2"/>
      <queryTableField id="3" name="descript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5" xr16:uid="{0F493996-1A24-1747-AFD6-166447AB0235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student_number" tableColumnId="2"/>
      <queryTableField id="3" name="wp_user_id" tableColumnId="3"/>
      <queryTableField id="4" name="faculty_id" tableColumnId="4"/>
      <queryTableField id="5" name="first_name" tableColumnId="5"/>
      <queryTableField id="6" name="last_name" tableColumnId="6"/>
      <queryTableField id="7" name="email" tableColumnId="7"/>
      <queryTableField id="8" name="phone" tableColumnId="8"/>
      <queryTableField id="9" name="status" tableColumnId="9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7F4D93-7E9B-754D-B74B-C34D2DE84CAD}" name="Table4" displayName="Table4" ref="A1:I8" totalsRowShown="0" headerRowDxfId="19" dataDxfId="20" tableBorderDxfId="29">
  <autoFilter ref="A1:I8" xr:uid="{F27F4D93-7E9B-754D-B74B-C34D2DE84CAD}"/>
  <tableColumns count="9">
    <tableColumn id="1" xr3:uid="{CEEEE2FE-98FF-1E49-8BBA-DFDB072B9F9F}" name="id" dataDxfId="18">
      <calculatedColumnFormula>( MAX($A$1:A1)+1)</calculatedColumnFormula>
    </tableColumn>
    <tableColumn id="2" xr3:uid="{58322CBB-9534-1142-B6E6-0B997F275737}" name="code" dataDxfId="28"/>
    <tableColumn id="3" xr3:uid="{1774CF5B-C54B-724E-A659-30C3D8A578D4}" name="name" dataDxfId="27"/>
    <tableColumn id="4" xr3:uid="{370EDB45-29A8-1644-A161-D31B517109E5}" name="short_name" dataDxfId="26"/>
    <tableColumn id="5" xr3:uid="{7EC558C7-D4C2-9044-AE8D-EE024C97FC0F}" name="description" dataDxfId="25"/>
    <tableColumn id="6" xr3:uid="{49269AB6-CBC3-1E4F-8B49-D72526027868}" name="dean_name" dataDxfId="24"/>
    <tableColumn id="7" xr3:uid="{AEB81B09-0E8F-0740-80FC-BA6F6109670A}" name="contact_email" dataDxfId="23"/>
    <tableColumn id="8" xr3:uid="{5D4D8D9C-A248-2B46-92AE-A3CF95F66E71}" name="status" dataDxfId="22"/>
    <tableColumn id="9" xr3:uid="{17A8AE83-8ABD-4442-905F-42DFC5C22CFA}" name="display_label" dataDxfId="21">
      <calculatedColumnFormula>"("&amp;A2&amp;") - "&amp;C2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26A1914-77CB-8F46-A39B-095C5D5A0C90}" name="Table15" displayName="Table15" ref="A1:N17" totalsRowShown="0" headerRowDxfId="118" dataDxfId="117" tableBorderDxfId="116">
  <autoFilter ref="A1:N17" xr:uid="{126A1914-77CB-8F46-A39B-095C5D5A0C90}"/>
  <tableColumns count="14">
    <tableColumn id="1" xr3:uid="{025C80B6-3148-EB4D-AA9D-517F1A7C139E}" name="id" dataDxfId="115">
      <calculatedColumnFormula>( MAX($A$1:A1)+1)</calculatedColumnFormula>
    </tableColumn>
    <tableColumn id="2" xr3:uid="{021E10F3-2DD3-D440-AE24-CE070BB53642}" name="Faculty_Name_ignore" dataDxfId="114"/>
    <tableColumn id="3" xr3:uid="{020C508B-5BEA-DD41-85FF-A008F5104E0A}" name="faculty_id" dataDxfId="113">
      <calculatedColumnFormula>IF(B2="", "", _xlfn.XLOOKUP(B2, Faculties!C:C, Faculties!A:A))</calculatedColumnFormula>
    </tableColumn>
    <tableColumn id="4" xr3:uid="{CDD32E38-D0E0-0C4A-B3E0-1C25D5F09A6C}" name="program_type_name_ignore" dataDxfId="112"/>
    <tableColumn id="5" xr3:uid="{3A257D0A-6176-0442-A54E-D39E00225B07}" name="program_type_id" dataDxfId="111">
      <calculatedColumnFormula>IF(D2="", "", _xlfn.XLOOKUP(D2, Program_Types!B:B, Program_Types!A:A))</calculatedColumnFormula>
    </tableColumn>
    <tableColumn id="6" xr3:uid="{689691D7-97BE-8F48-B486-05D5F9A3C165}" name="code" dataDxfId="110"/>
    <tableColumn id="7" xr3:uid="{C7F839C0-62A9-274C-9E9E-83A55FD5A93C}" name="name" dataDxfId="109"/>
    <tableColumn id="8" xr3:uid="{93D89CF0-3BBD-434F-9C74-0FDD699C4F61}" name="short_name" dataDxfId="108"/>
    <tableColumn id="9" xr3:uid="{89ED9CB6-EADF-444E-A82E-EF7A6685A974}" name="nqf_level" dataDxfId="107"/>
    <tableColumn id="10" xr3:uid="{320395EC-8BCD-F640-AC07-85D13C1002DC}" name="total_credits" dataDxfId="106"/>
    <tableColumn id="11" xr3:uid="{3CF115AC-CFAC-EB41-BD4D-501D0353347B}" name="duration_years" dataDxfId="105"/>
    <tableColumn id="15" xr3:uid="{67C825FF-950A-F642-832A-FA95A815A70C}" name="accrediting_body_ignore" dataDxfId="104"/>
    <tableColumn id="12" xr3:uid="{328886D3-05E1-6E46-A444-95A206964536}" name="accreditation_body_id" dataDxfId="103">
      <calculatedColumnFormula>IF(L2="", "", _xlfn.XLOOKUP(L2, Accreditation_Bodies!B:B, Accreditation_Bodies!A:A))</calculatedColumnFormula>
    </tableColumn>
    <tableColumn id="13" xr3:uid="{A3DDF8B1-8B88-3F4A-B436-989D8A9E28F0}" name="status" dataDxfId="10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436C054-CAB7-114F-9799-0760F151F1D5}" name="Courses" displayName="Courses" ref="A1:L22" totalsRowShown="0" headerRowDxfId="17" dataDxfId="16">
  <autoFilter ref="A1:L22" xr:uid="{7436C054-CAB7-114F-9799-0760F151F1D5}"/>
  <tableColumns count="12">
    <tableColumn id="1" xr3:uid="{243A710B-AB2A-824C-AD94-ED56ED458B81}" name="id" dataDxfId="15">
      <calculatedColumnFormula>MAX($A$1:A1)+1</calculatedColumnFormula>
    </tableColumn>
    <tableColumn id="2" xr3:uid="{7C5691DC-F7E6-7946-8BD3-9864125D1DD5}" name="program_name_ignore" dataDxfId="14"/>
    <tableColumn id="3" xr3:uid="{C069004E-D7D4-3245-BB28-285CC3288257}" name="program_id" dataDxfId="13">
      <calculatedColumnFormula>IF($B2="", "", _xlfn.XLOOKUP($B2, Programs!G:G, Programs!A:A))</calculatedColumnFormula>
    </tableColumn>
    <tableColumn id="4" xr3:uid="{BBE2E45F-B8E3-084C-8543-CFBC3C216A9A}" name="level_id" dataDxfId="12"/>
    <tableColumn id="5" xr3:uid="{E39129FB-D829-AD48-ACCC-332F2AF3F9E4}" name="code" dataDxfId="11"/>
    <tableColumn id="6" xr3:uid="{CF136492-FC70-8849-A3EC-295B5E2B2BCA}" name="name" dataDxfId="10"/>
    <tableColumn id="7" xr3:uid="{25533A9D-34D7-C54E-A056-CE57C9CFE7A7}" name="nqf_level" dataDxfId="9"/>
    <tableColumn id="8" xr3:uid="{07EC0F88-D725-F346-A396-44CDC4F9AAF2}" name="credits" dataDxfId="8"/>
    <tableColumn id="9" xr3:uid="{29B1C4CF-C19D-0D44-A48A-41A9CADDFCA2}" name="contact_hours" dataDxfId="7"/>
    <tableColumn id="10" xr3:uid="{B5FB56CB-78CD-174E-A38C-22C9CE48B4D9}" name="category_id" dataDxfId="6"/>
    <tableColumn id="11" xr3:uid="{794D59AB-5FF6-4A4F-B47F-490DEDB96C28}" name="is_required" dataDxfId="5"/>
    <tableColumn id="12" xr3:uid="{B4894306-924F-4047-A66A-BA47E95F13E5}" name="statu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0AF5A9-C0C3-C94B-8E92-754DFBDC4B8D}" name="Table6" displayName="Table6" ref="A1:M27" totalsRowShown="0" headerRowDxfId="101" dataDxfId="100" tableBorderDxfId="99">
  <autoFilter ref="A1:M27" xr:uid="{500AF5A9-C0C3-C94B-8E92-754DFBDC4B8D}"/>
  <tableColumns count="13">
    <tableColumn id="1" xr3:uid="{79D4FB9A-668C-F242-A6C7-604CB0D493C3}" name="id" dataDxfId="98">
      <calculatedColumnFormula>MAX($A$1:A1)+1</calculatedColumnFormula>
    </tableColumn>
    <tableColumn id="2" xr3:uid="{7492FFEA-57D0-4A47-A185-86A2E4B093F0}" name="Course_Name_ignore" dataDxfId="97"/>
    <tableColumn id="3" xr3:uid="{628B8308-9E62-AD4C-BAAA-55E6F5D0D980}" name="course_id" dataDxfId="96">
      <calculatedColumnFormula>IF(B2="", "", _xlfn.XLOOKUP(B2, 'Courses'!F:F, 'Courses'!A:A))</calculatedColumnFormula>
    </tableColumn>
    <tableColumn id="4" xr3:uid="{E71C0DDD-CDDF-494B-9693-1F0D1C304A7D}" name="Lecture_name_ignore" dataDxfId="95"/>
    <tableColumn id="5" xr3:uid="{5F1BC5C9-5AD9-2C48-9A16-40C6B2E3E6DA}" name="lecturer_id" dataDxfId="94">
      <calculatedColumnFormula>IF(D2="", "", _xlfn.XLOOKUP(D2, Staff!C:C, Staff!A:A))</calculatedColumnFormula>
    </tableColumn>
    <tableColumn id="6" xr3:uid="{74DC3DDD-F7CB-9B48-A0BF-1C6F55A5F9FA}" name="days" dataDxfId="93"/>
    <tableColumn id="7" xr3:uid="{430F1698-B451-7D49-8624-241A9B2E5F8F}" name="start_time" dataDxfId="92"/>
    <tableColumn id="8" xr3:uid="{9B78EF8A-1ECE-8A42-808E-3D875825EF05}" name="end_time" dataDxfId="91"/>
    <tableColumn id="9" xr3:uid="{5D391C77-85B2-8C4F-9BBB-25FD7A07B9B2}" name="day_hours" dataDxfId="90">
      <calculatedColumnFormula>MOD(H2-G2,1)</calculatedColumnFormula>
    </tableColumn>
    <tableColumn id="10" xr3:uid="{65914B28-1628-984C-907D-93989048BE1E}" name="session_type" dataDxfId="89"/>
    <tableColumn id="11" xr3:uid="{3172DAB3-1073-6A42-A4BF-6B162767E1AB}" name="Room_Name_Ignore" dataDxfId="88"/>
    <tableColumn id="12" xr3:uid="{2F0BD7A7-B73D-7B4A-8F98-952A50BAFA08}" name="Room_Id" dataDxfId="87">
      <calculatedColumnFormula>IF(K2="", "", _xlfn.XLOOKUP(K2, wp_nds_rooms!C:C, wp_nds_rooms!A:A))</calculatedColumnFormula>
    </tableColumn>
    <tableColumn id="13" xr3:uid="{A99FEA30-7AC1-E14D-ADE3-A7A9209CAC98}" name="is_active" dataDxfId="8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C38AF4-FBAD-3A42-930C-D221A31E883B}" name="Table1" displayName="Table1" ref="A1:B6" totalsRowShown="0" headerRowDxfId="85" dataDxfId="84">
  <autoFilter ref="A1:B6" xr:uid="{77C38AF4-FBAD-3A42-930C-D221A31E883B}"/>
  <tableColumns count="2">
    <tableColumn id="1" xr3:uid="{B79038DA-49DE-C04F-99CC-C01A0464CF9A}" name="id" dataDxfId="83">
      <calculatedColumnFormula>MAX($A$1:A1)+1</calculatedColumnFormula>
    </tableColumn>
    <tableColumn id="2" xr3:uid="{C8BAA74C-FB0F-2D47-B02F-630F2201F264}" name="name" dataDxfId="8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D794745-0F68-3541-B4F0-11E8F080BA78}" name="Table28" displayName="Table28" ref="A1:G14" totalsRowShown="0" headerRowDxfId="81" dataDxfId="80" tableBorderDxfId="79">
  <autoFilter ref="A1:G14" xr:uid="{9D794745-0F68-3541-B4F0-11E8F080BA78}"/>
  <tableColumns count="7">
    <tableColumn id="1" xr3:uid="{9A4773D3-2F28-244D-8C3F-033880CA2115}" name="id" dataDxfId="78">
      <calculatedColumnFormula>MAX($A$1:A1)+1</calculatedColumnFormula>
    </tableColumn>
    <tableColumn id="2" xr3:uid="{E0A0B400-62F1-6049-95FB-78DAD84C0EF5}" name="user_id" dataDxfId="77"/>
    <tableColumn id="3" xr3:uid="{B80047B2-550E-194F-96F3-4EDCE919BD82}" name="first_name" dataDxfId="76"/>
    <tableColumn id="4" xr3:uid="{91DA0050-2CC3-B046-883E-8CF10AC2FF85}" name="last_name" dataDxfId="75"/>
    <tableColumn id="5" xr3:uid="{8C87B2C2-DE15-5E47-8D05-F36ED465B14D}" name="email" dataDxfId="74"/>
    <tableColumn id="6" xr3:uid="{3E703BB6-789E-334B-922A-8C18E57213A0}" name="phone" dataDxfId="73"/>
    <tableColumn id="7" xr3:uid="{3B142FFB-9568-D04F-A67E-17DA0CA1ACFE}" name="role" dataDxfId="7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FA28BB6-743D-D341-BBC3-BECF512EA52F}" name="Table22" displayName="Table22" ref="A1:K9" totalsRowShown="0" headerRowDxfId="71" dataDxfId="70" tableBorderDxfId="69">
  <autoFilter ref="A1:K9" xr:uid="{3FA28BB6-743D-D341-BBC3-BECF512EA52F}"/>
  <tableColumns count="11">
    <tableColumn id="1" xr3:uid="{33CEA315-DD60-A14E-BACA-CEF6FA9CC4EB}" name="id" dataDxfId="68">
      <calculatedColumnFormula>IF(B2="", "", MAX($A$1:A1)+1)</calculatedColumnFormula>
    </tableColumn>
    <tableColumn id="2" xr3:uid="{3AE1FAAD-2012-A94F-BF44-A78839B90EA9}" name="code" dataDxfId="67"/>
    <tableColumn id="3" xr3:uid="{4A58AF2D-9E0E-4A4B-9120-CC52E8EB8297}" name="name" dataDxfId="66"/>
    <tableColumn id="4" xr3:uid="{04C4EC61-D1CC-1F46-9628-8AA2051FEE00}" name="type" dataDxfId="65"/>
    <tableColumn id="5" xr3:uid="{B9BD7315-AE4C-744C-B711-067BCBC0EF94}" name="capacity" dataDxfId="64"/>
    <tableColumn id="6" xr3:uid="{761EF11B-E9AE-4041-8241-B2741A53B9B9}" name="location" dataDxfId="63"/>
    <tableColumn id="7" xr3:uid="{5BC973E3-952C-CB47-9C47-5B0318DCF1D6}" name="equipment" dataDxfId="62"/>
    <tableColumn id="8" xr3:uid="{C4DF86EA-68E3-2848-8DDE-8F2B39527CD9}" name="amenities" dataDxfId="61"/>
    <tableColumn id="9" xr3:uid="{3B78C032-978D-CC4C-93F4-28C26E9E1688}" name="is_active" dataDxfId="60"/>
    <tableColumn id="10" xr3:uid="{03F840C9-FE68-D745-8482-A231484FEA58}" name="created_at" dataDxfId="59"/>
    <tableColumn id="11" xr3:uid="{B7F64D36-2E74-8D43-8341-F944AB6C2168}" name="updated_at" dataDxfId="5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2CCEC5B-AE70-6D40-A01A-4DB590A1B16E}" name="Accreditation_Body" displayName="Accreditation_Body" ref="A1:G4" totalsRowShown="0" headerRowDxfId="57" dataDxfId="56" tableBorderDxfId="55">
  <autoFilter ref="A1:G4" xr:uid="{A2CCEC5B-AE70-6D40-A01A-4DB590A1B16E}"/>
  <tableColumns count="7">
    <tableColumn id="1" xr3:uid="{6A685237-A3B9-884B-9525-5F445E8006C3}" name="id" dataDxfId="54">
      <calculatedColumnFormula>MAX($A$1:A1)+1</calculatedColumnFormula>
    </tableColumn>
    <tableColumn id="2" xr3:uid="{6B557424-0DA3-834F-9B88-6A78C217F640}" name="name" dataDxfId="53"/>
    <tableColumn id="3" xr3:uid="{83EF9F22-1489-7F4B-A3D9-5ACD5000B416}" name="short_name" dataDxfId="52"/>
    <tableColumn id="4" xr3:uid="{9D1E5422-0E82-DA49-8736-354E477F0011}" name="description" dataDxfId="51"/>
    <tableColumn id="5" xr3:uid="{14C64EBC-286A-0C4E-8821-688FD4C239A4}" name="website_url" dataDxfId="50"/>
    <tableColumn id="6" xr3:uid="{31AC6060-743E-3C4F-9651-ED35FA116980}" name="contact_email" dataDxfId="49"/>
    <tableColumn id="7" xr3:uid="{75746A04-9B8C-D945-9EBD-5970F6A204E1}" name="status" dataDxfId="4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38E66F7-0D80-734B-AC76-56ECBA9BDDE5}" name="Table26" displayName="Table26" ref="A1:I9" totalsRowShown="0" headerRowDxfId="47" dataDxfId="46">
  <autoFilter ref="A1:I9" xr:uid="{A38E66F7-0D80-734B-AC76-56ECBA9BDDE5}"/>
  <tableColumns count="9">
    <tableColumn id="1" xr3:uid="{B852B6A1-CED3-FE4E-B4A3-481241750A0A}" name="id" dataDxfId="0">
      <calculatedColumnFormula>MAX($A$1:A1)+1</calculatedColumnFormula>
    </tableColumn>
    <tableColumn id="2" xr3:uid="{AB5CFABE-5FE0-994B-8991-2410187467D8}" name="course_name_ignore" dataDxfId="2"/>
    <tableColumn id="3" xr3:uid="{19E7DE0E-9EE3-3D42-A409-829A6E04CF33}" name="course_id" dataDxfId="1">
      <calculatedColumnFormula>IF($B2="", "", _xlfn.XLOOKUP($B2, 'Courses'!F:F, 'Courses'!A:A))</calculatedColumnFormula>
    </tableColumn>
    <tableColumn id="4" xr3:uid="{96170781-6A70-8A4F-A109-DF20A5044510}" name="accreditation_body_id" dataDxfId="45"/>
    <tableColumn id="5" xr3:uid="{00DCE009-D73B-0C49-AECA-16CE108AB750}" name="accreditation_number" dataDxfId="44"/>
    <tableColumn id="6" xr3:uid="{81F96D17-FEA6-2747-BC59-AF6D8C89027F}" name="accreditation_date" dataDxfId="43"/>
    <tableColumn id="7" xr3:uid="{35CA11D6-7310-D94B-91A8-377878495A2D}" name="expiry_date" dataDxfId="42"/>
    <tableColumn id="8" xr3:uid="{A4E92FDB-6468-F74D-9E4C-065AAA1B027E}" name="status" dataDxfId="41"/>
    <tableColumn id="9" xr3:uid="{9187A072-ABA3-9941-A3F6-9689DFAFCE04}" name="Column1" dataDxf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CDAB43-B1B0-A24A-A140-C3DFED33AD86}" name="Program_Types" displayName="Program_Types" ref="A1:E8" tableType="queryTable" totalsRowShown="0">
  <autoFilter ref="A1:E8" xr:uid="{71CDAB43-B1B0-A24A-A140-C3DFED33AD86}"/>
  <tableColumns count="5">
    <tableColumn id="1" xr3:uid="{3143164D-BB92-944C-B481-016F54264DC2}" uniqueName="1" name="id" queryTableFieldId="1"/>
    <tableColumn id="2" xr3:uid="{98818E95-47D6-B34A-BF38-D38C686257F5}" uniqueName="2" name="name" queryTableFieldId="2" dataDxfId="40"/>
    <tableColumn id="3" xr3:uid="{1AC73860-05AD-FC48-B711-61732B7AD9E0}" uniqueName="3" name="description" queryTableFieldId="3" dataDxfId="39"/>
    <tableColumn id="4" xr3:uid="{A400B08C-2CA4-454B-8906-0285F2E895AE}" uniqueName="4" name="typical_duration_years" queryTableFieldId="4"/>
    <tableColumn id="5" xr3:uid="{0E7BD9D9-D64F-BB4D-B1DA-9EA3853C22D9}" uniqueName="5" name="level" queryTableFieldId="5" dataDxfId="3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0BE692-6788-CF48-BD40-97E2BE1A27F9}" name="Course_Categories" displayName="Course_Categories" ref="A1:C6" tableType="queryTable" totalsRowShown="0">
  <autoFilter ref="A1:C6" xr:uid="{AC0BE692-6788-CF48-BD40-97E2BE1A27F9}"/>
  <tableColumns count="3">
    <tableColumn id="1" xr3:uid="{06F50A7F-06C6-CC40-9DEB-703459AC67C9}" uniqueName="1" name="id" queryTableFieldId="1"/>
    <tableColumn id="2" xr3:uid="{1573D9A2-BBE4-E348-8AD5-9685D70C8B97}" uniqueName="2" name="name" queryTableFieldId="2" dataDxfId="37"/>
    <tableColumn id="3" xr3:uid="{F82B0706-6728-AB4A-B0B0-98369FD3601B}" uniqueName="3" name="description" queryTableFieldId="3" dataDxfId="3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0B6763-0249-D244-99AA-2F296B04A945}" name="Students" displayName="Students" ref="A1:I61" tableType="queryTable" totalsRowShown="0">
  <autoFilter ref="A1:I61" xr:uid="{D70B6763-0249-D244-99AA-2F296B04A945}"/>
  <tableColumns count="9">
    <tableColumn id="1" xr3:uid="{B395BDB2-474B-A74E-9F9C-702C8F6B9110}" uniqueName="1" name="id" queryTableFieldId="1"/>
    <tableColumn id="2" xr3:uid="{EFD37D79-C465-2644-AB0B-82FFB7ABEE36}" uniqueName="2" name="student_number" queryTableFieldId="2" dataDxfId="35"/>
    <tableColumn id="3" xr3:uid="{2F5BF378-E1B6-8943-B4CC-7CD5F33C2215}" uniqueName="3" name="wp_user_id" queryTableFieldId="3" dataDxfId="34"/>
    <tableColumn id="4" xr3:uid="{AC5CA12C-C83C-1342-A494-656F4013A1F8}" uniqueName="4" name="faculty_id" queryTableFieldId="4"/>
    <tableColumn id="5" xr3:uid="{B8236B09-9787-9A4A-B9E4-0752CB7A7EEE}" uniqueName="5" name="first_name" queryTableFieldId="5" dataDxfId="33"/>
    <tableColumn id="6" xr3:uid="{C3D2A1A8-F5A7-0F4D-9DAA-B0C7BCC9C37D}" uniqueName="6" name="last_name" queryTableFieldId="6" dataDxfId="32"/>
    <tableColumn id="7" xr3:uid="{6D915A06-F790-5B4E-A53A-31CAA75A37CC}" uniqueName="7" name="email" queryTableFieldId="7" dataDxfId="31"/>
    <tableColumn id="8" xr3:uid="{45C396A3-844F-D448-A586-384A432C5C6C}" uniqueName="8" name="phone" queryTableFieldId="8"/>
    <tableColumn id="9" xr3:uid="{8E697D5E-C439-B943-A7C3-6F4F686D9541}" uniqueName="9" name="status" queryTableFieldId="9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7848-2661-1048-B6BA-59D9A1178D70}">
  <sheetPr codeName="Sheet1">
    <tabColor theme="9"/>
  </sheetPr>
  <dimension ref="A1:I8"/>
  <sheetViews>
    <sheetView workbookViewId="0">
      <selection activeCell="H8" sqref="H8"/>
    </sheetView>
  </sheetViews>
  <sheetFormatPr baseColWidth="10" defaultColWidth="11.1640625" defaultRowHeight="16" x14ac:dyDescent="0.2"/>
  <cols>
    <col min="1" max="1" width="5.1640625" bestFit="1" customWidth="1"/>
    <col min="2" max="2" width="12.83203125" bestFit="1" customWidth="1"/>
    <col min="3" max="3" width="19.6640625" bestFit="1" customWidth="1"/>
    <col min="4" max="4" width="13.5" bestFit="1" customWidth="1"/>
    <col min="5" max="5" width="41.5" bestFit="1" customWidth="1"/>
    <col min="6" max="6" width="13.1640625" bestFit="1" customWidth="1"/>
    <col min="7" max="7" width="15.5" bestFit="1" customWidth="1"/>
    <col min="8" max="8" width="9" bestFit="1" customWidth="1"/>
    <col min="9" max="9" width="23.5" bestFit="1" customWidth="1"/>
  </cols>
  <sheetData>
    <row r="1" spans="1:9" x14ac:dyDescent="0.2">
      <c r="A1" s="27" t="s">
        <v>0</v>
      </c>
      <c r="B1" s="27" t="s">
        <v>27</v>
      </c>
      <c r="C1" s="27" t="s">
        <v>1</v>
      </c>
      <c r="D1" s="27" t="s">
        <v>2</v>
      </c>
      <c r="E1" s="27" t="s">
        <v>3</v>
      </c>
      <c r="F1" s="27" t="s">
        <v>28</v>
      </c>
      <c r="G1" s="27" t="s">
        <v>5</v>
      </c>
      <c r="H1" s="27" t="s">
        <v>6</v>
      </c>
      <c r="I1" s="27" t="s">
        <v>410</v>
      </c>
    </row>
    <row r="2" spans="1:9" x14ac:dyDescent="0.2">
      <c r="A2" s="23">
        <f>( MAX($A$1:A1)+1)</f>
        <v>1</v>
      </c>
      <c r="B2" s="23" t="s">
        <v>29</v>
      </c>
      <c r="C2" s="23" t="s">
        <v>30</v>
      </c>
      <c r="D2" s="23" t="s">
        <v>8</v>
      </c>
      <c r="E2" s="23" t="s">
        <v>30</v>
      </c>
      <c r="F2" s="23" t="s">
        <v>8</v>
      </c>
      <c r="G2" s="23" t="s">
        <v>8</v>
      </c>
      <c r="H2" s="23" t="s">
        <v>9</v>
      </c>
      <c r="I2" s="25" t="str">
        <f t="shared" ref="I2:I6" si="0">"("&amp;A2&amp;") - "&amp;C2</f>
        <v>(1) - Full time qualification</v>
      </c>
    </row>
    <row r="3" spans="1:9" x14ac:dyDescent="0.2">
      <c r="A3" s="24">
        <f>( MAX($A$1:A2)+1)</f>
        <v>2</v>
      </c>
      <c r="B3" s="24" t="s">
        <v>31</v>
      </c>
      <c r="C3" s="24" t="s">
        <v>32</v>
      </c>
      <c r="D3" s="24" t="s">
        <v>8</v>
      </c>
      <c r="E3" s="24" t="s">
        <v>32</v>
      </c>
      <c r="F3" s="24" t="s">
        <v>8</v>
      </c>
      <c r="G3" s="24" t="s">
        <v>8</v>
      </c>
      <c r="H3" s="24" t="s">
        <v>9</v>
      </c>
      <c r="I3" s="26" t="str">
        <f t="shared" si="0"/>
        <v>(2) - Part Time Qualification</v>
      </c>
    </row>
    <row r="4" spans="1:9" x14ac:dyDescent="0.2">
      <c r="A4" s="23">
        <f>( MAX($A$1:A3)+1)</f>
        <v>3</v>
      </c>
      <c r="B4" s="23" t="s">
        <v>33</v>
      </c>
      <c r="C4" s="23" t="s">
        <v>34</v>
      </c>
      <c r="D4" s="23" t="s">
        <v>8</v>
      </c>
      <c r="E4" s="23" t="s">
        <v>34</v>
      </c>
      <c r="F4" s="23" t="s">
        <v>8</v>
      </c>
      <c r="G4" s="23" t="s">
        <v>8</v>
      </c>
      <c r="H4" s="23" t="s">
        <v>9</v>
      </c>
      <c r="I4" s="25" t="str">
        <f t="shared" si="0"/>
        <v>(3) - Short Courses</v>
      </c>
    </row>
    <row r="5" spans="1:9" x14ac:dyDescent="0.2">
      <c r="A5" s="24">
        <f>( MAX($A$1:A4)+1)</f>
        <v>4</v>
      </c>
      <c r="B5" s="24" t="s">
        <v>35</v>
      </c>
      <c r="C5" s="24" t="s">
        <v>36</v>
      </c>
      <c r="D5" s="24" t="s">
        <v>8</v>
      </c>
      <c r="E5" s="24" t="s">
        <v>36</v>
      </c>
      <c r="F5" s="24" t="s">
        <v>8</v>
      </c>
      <c r="G5" s="24" t="s">
        <v>8</v>
      </c>
      <c r="H5" s="24" t="s">
        <v>9</v>
      </c>
      <c r="I5" s="26" t="str">
        <f t="shared" si="0"/>
        <v>(4) - ARPL-Trade Test</v>
      </c>
    </row>
    <row r="6" spans="1:9" x14ac:dyDescent="0.2">
      <c r="A6" s="23">
        <f>( MAX($A$1:A5)+1)</f>
        <v>5</v>
      </c>
      <c r="B6" s="23" t="s">
        <v>37</v>
      </c>
      <c r="C6" s="23" t="s">
        <v>38</v>
      </c>
      <c r="D6" s="23" t="s">
        <v>39</v>
      </c>
      <c r="E6" s="23" t="s">
        <v>40</v>
      </c>
      <c r="F6" s="23" t="s">
        <v>8</v>
      </c>
      <c r="G6" s="23" t="s">
        <v>8</v>
      </c>
      <c r="H6" s="23" t="s">
        <v>9</v>
      </c>
      <c r="I6" s="25" t="str">
        <f t="shared" si="0"/>
        <v>(5) - Hospitality Faculty</v>
      </c>
    </row>
    <row r="7" spans="1:9" x14ac:dyDescent="0.2">
      <c r="A7" s="28">
        <f>( MAX($A$1:A6)+1)</f>
        <v>6</v>
      </c>
      <c r="B7" s="23" t="s">
        <v>463</v>
      </c>
      <c r="C7" s="23" t="s">
        <v>466</v>
      </c>
      <c r="D7" s="23" t="s">
        <v>464</v>
      </c>
      <c r="E7" s="23" t="s">
        <v>465</v>
      </c>
      <c r="F7" s="23"/>
      <c r="G7" s="23"/>
      <c r="H7" s="23" t="s">
        <v>9</v>
      </c>
      <c r="I7" s="25" t="str">
        <f>"("&amp;A7&amp;") - "&amp;C7</f>
        <v>(6) - SADFVD323232323FGDSFG</v>
      </c>
    </row>
    <row r="8" spans="1:9" x14ac:dyDescent="0.2">
      <c r="A8" s="28">
        <f>( MAX($A$1:A7)+1)</f>
        <v>7</v>
      </c>
      <c r="B8" s="23" t="s">
        <v>472</v>
      </c>
      <c r="C8" s="23" t="s">
        <v>473</v>
      </c>
      <c r="D8" s="23" t="s">
        <v>474</v>
      </c>
      <c r="E8" s="23" t="s">
        <v>475</v>
      </c>
      <c r="F8" s="23"/>
      <c r="G8" s="23"/>
      <c r="H8" s="23" t="s">
        <v>9</v>
      </c>
      <c r="I8" s="25" t="str">
        <f>"("&amp;A8&amp;") - "&amp;C8</f>
        <v>(7) - 98uh98h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4F7E-7F61-884B-98FB-81DCE19A5453}">
  <sheetPr codeName="Sheet2">
    <tabColor theme="9" tint="0.59999389629810485"/>
  </sheetPr>
  <dimension ref="A1:N17"/>
  <sheetViews>
    <sheetView workbookViewId="0">
      <selection activeCell="C1" sqref="C1"/>
    </sheetView>
  </sheetViews>
  <sheetFormatPr baseColWidth="10" defaultColWidth="11.1640625" defaultRowHeight="16" x14ac:dyDescent="0.2"/>
  <cols>
    <col min="1" max="1" width="7.83203125" style="11" bestFit="1" customWidth="1"/>
    <col min="2" max="2" width="24.1640625" style="11" bestFit="1" customWidth="1"/>
    <col min="3" max="3" width="11.6640625" style="9" bestFit="1" customWidth="1"/>
    <col min="4" max="4" width="26.83203125" style="11" bestFit="1" customWidth="1"/>
    <col min="5" max="5" width="19.83203125" style="9" bestFit="1" customWidth="1"/>
    <col min="6" max="6" width="8.1640625" style="11" bestFit="1" customWidth="1"/>
    <col min="7" max="7" width="30.5" style="11" bestFit="1" customWidth="1"/>
    <col min="8" max="8" width="13.5" style="11" bestFit="1" customWidth="1"/>
    <col min="9" max="9" width="14.1640625" style="11" bestFit="1" customWidth="1"/>
    <col min="10" max="10" width="15.83203125" style="11" bestFit="1" customWidth="1"/>
    <col min="11" max="11" width="21.83203125" style="11" bestFit="1" customWidth="1"/>
    <col min="12" max="12" width="24" style="11" bestFit="1" customWidth="1"/>
    <col min="13" max="13" width="21.5" style="9" customWidth="1"/>
    <col min="14" max="16384" width="11.1640625" style="11"/>
  </cols>
  <sheetData>
    <row r="1" spans="1:14" x14ac:dyDescent="0.2">
      <c r="A1" s="10" t="s">
        <v>0</v>
      </c>
      <c r="B1" s="10" t="s">
        <v>411</v>
      </c>
      <c r="C1" s="12" t="s">
        <v>41</v>
      </c>
      <c r="D1" s="10" t="s">
        <v>451</v>
      </c>
      <c r="E1" s="12" t="s">
        <v>42</v>
      </c>
      <c r="F1" s="10" t="s">
        <v>27</v>
      </c>
      <c r="G1" s="10" t="s">
        <v>1</v>
      </c>
      <c r="H1" s="10" t="s">
        <v>2</v>
      </c>
      <c r="I1" s="10" t="s">
        <v>43</v>
      </c>
      <c r="J1" s="10" t="s">
        <v>44</v>
      </c>
      <c r="K1" s="10" t="s">
        <v>45</v>
      </c>
      <c r="L1" s="10" t="s">
        <v>456</v>
      </c>
      <c r="M1" s="12" t="s">
        <v>46</v>
      </c>
      <c r="N1" s="10" t="s">
        <v>6</v>
      </c>
    </row>
    <row r="2" spans="1:14" x14ac:dyDescent="0.2">
      <c r="A2" s="11">
        <f>( MAX($A$1:A1)+1)</f>
        <v>1</v>
      </c>
      <c r="B2" s="13" t="s">
        <v>30</v>
      </c>
      <c r="C2" s="9">
        <f>IF(B2="", "", _xlfn.XLOOKUP(B2, Faculties!C:C, Faculties!A:A))</f>
        <v>1</v>
      </c>
      <c r="D2" s="11" t="s">
        <v>12</v>
      </c>
      <c r="E2" s="9">
        <f>IF(D2="", "", _xlfn.XLOOKUP(D2, Program_Types!B:B, Program_Types!A:A))</f>
        <v>1</v>
      </c>
      <c r="F2" s="13" t="s">
        <v>47</v>
      </c>
      <c r="G2" s="13" t="s">
        <v>48</v>
      </c>
      <c r="L2" s="11" t="s">
        <v>458</v>
      </c>
      <c r="M2" s="9">
        <f>IF(L2="", "", _xlfn.XLOOKUP(L2, Accreditation_Bodies!B:B, Accreditation_Bodies!A:A))</f>
        <v>3</v>
      </c>
      <c r="N2" s="11" t="s">
        <v>9</v>
      </c>
    </row>
    <row r="3" spans="1:14" x14ac:dyDescent="0.2">
      <c r="A3" s="11">
        <f>( MAX($A$1:A2)+1)</f>
        <v>2</v>
      </c>
      <c r="B3" s="13" t="s">
        <v>30</v>
      </c>
      <c r="C3" s="9">
        <f>IF(B3="", "", _xlfn.XLOOKUP(B3, Faculties!C:C, Faculties!A:A))</f>
        <v>1</v>
      </c>
      <c r="D3" s="11" t="s">
        <v>12</v>
      </c>
      <c r="E3" s="9">
        <f>IF(D3="", "", _xlfn.XLOOKUP(D3, Program_Types!B:B, Program_Types!A:A))</f>
        <v>1</v>
      </c>
      <c r="F3" s="13" t="s">
        <v>49</v>
      </c>
      <c r="G3" s="13" t="s">
        <v>50</v>
      </c>
      <c r="L3" s="11" t="s">
        <v>7</v>
      </c>
      <c r="M3" s="9">
        <f>IF(L3="", "", _xlfn.XLOOKUP(L3, Accreditation_Bodies!B:B, Accreditation_Bodies!A:A))</f>
        <v>1</v>
      </c>
      <c r="N3" s="11" t="s">
        <v>9</v>
      </c>
    </row>
    <row r="4" spans="1:14" x14ac:dyDescent="0.2">
      <c r="A4" s="11">
        <f>( MAX($A$1:A3)+1)</f>
        <v>3</v>
      </c>
      <c r="B4" s="13" t="s">
        <v>30</v>
      </c>
      <c r="C4" s="9">
        <f>IF(B4="", "", _xlfn.XLOOKUP(B4, Faculties!C:C, Faculties!A:A))</f>
        <v>1</v>
      </c>
      <c r="D4" s="11" t="s">
        <v>12</v>
      </c>
      <c r="E4" s="9">
        <f>IF(D4="", "", _xlfn.XLOOKUP(D4, Program_Types!B:B, Program_Types!A:A))</f>
        <v>1</v>
      </c>
      <c r="F4" s="13" t="s">
        <v>51</v>
      </c>
      <c r="G4" s="13" t="s">
        <v>52</v>
      </c>
      <c r="L4" s="11" t="s">
        <v>7</v>
      </c>
      <c r="M4" s="9">
        <f>IF(L4="", "", _xlfn.XLOOKUP(L4, Accreditation_Bodies!B:B, Accreditation_Bodies!A:A))</f>
        <v>1</v>
      </c>
      <c r="N4" s="11" t="s">
        <v>9</v>
      </c>
    </row>
    <row r="5" spans="1:14" x14ac:dyDescent="0.2">
      <c r="A5" s="11">
        <f>( MAX($A$1:A4)+1)</f>
        <v>4</v>
      </c>
      <c r="B5" s="13" t="s">
        <v>30</v>
      </c>
      <c r="C5" s="9">
        <f>IF(B5="", "", _xlfn.XLOOKUP(B5, Faculties!C:C, Faculties!A:A))</f>
        <v>1</v>
      </c>
      <c r="D5" s="11" t="s">
        <v>12</v>
      </c>
      <c r="E5" s="9">
        <f>IF(D5="", "", _xlfn.XLOOKUP(D5, Program_Types!B:B, Program_Types!A:A))</f>
        <v>1</v>
      </c>
      <c r="F5" s="13" t="s">
        <v>53</v>
      </c>
      <c r="G5" s="13" t="s">
        <v>54</v>
      </c>
      <c r="L5" s="11" t="s">
        <v>7</v>
      </c>
      <c r="M5" s="9">
        <f>IF(L5="", "", _xlfn.XLOOKUP(L5, Accreditation_Bodies!B:B, Accreditation_Bodies!A:A))</f>
        <v>1</v>
      </c>
      <c r="N5" s="11" t="s">
        <v>9</v>
      </c>
    </row>
    <row r="6" spans="1:14" x14ac:dyDescent="0.2">
      <c r="A6" s="11">
        <f>( MAX($A$1:A5)+1)</f>
        <v>5</v>
      </c>
      <c r="B6" s="13" t="s">
        <v>30</v>
      </c>
      <c r="C6" s="9">
        <f>IF(B6="", "", _xlfn.XLOOKUP(B6, Faculties!C:C, Faculties!A:A))</f>
        <v>1</v>
      </c>
      <c r="D6" s="11" t="s">
        <v>12</v>
      </c>
      <c r="E6" s="9">
        <f>IF(D6="", "", _xlfn.XLOOKUP(D6, Program_Types!B:B, Program_Types!A:A))</f>
        <v>1</v>
      </c>
      <c r="F6" s="13" t="s">
        <v>55</v>
      </c>
      <c r="G6" s="13" t="s">
        <v>56</v>
      </c>
      <c r="L6" s="11" t="s">
        <v>7</v>
      </c>
      <c r="M6" s="9">
        <f>IF(L6="", "", _xlfn.XLOOKUP(L6, Accreditation_Bodies!B:B, Accreditation_Bodies!A:A))</f>
        <v>1</v>
      </c>
      <c r="N6" s="11" t="s">
        <v>9</v>
      </c>
    </row>
    <row r="7" spans="1:14" x14ac:dyDescent="0.2">
      <c r="A7" s="11">
        <f>( MAX($A$1:A2)+1)</f>
        <v>2</v>
      </c>
      <c r="B7" s="13" t="s">
        <v>30</v>
      </c>
      <c r="C7" s="9">
        <f>IF(B7="", "", _xlfn.XLOOKUP(B7, Faculties!C:C, Faculties!A:A))</f>
        <v>1</v>
      </c>
      <c r="D7" s="11" t="s">
        <v>12</v>
      </c>
      <c r="E7" s="9">
        <f>IF(D7="", "", _xlfn.XLOOKUP(D7, Program_Types!B:B, Program_Types!A:A))</f>
        <v>1</v>
      </c>
      <c r="F7" s="13" t="s">
        <v>57</v>
      </c>
      <c r="G7" s="13" t="s">
        <v>58</v>
      </c>
      <c r="L7" s="11" t="s">
        <v>7</v>
      </c>
      <c r="M7" s="9">
        <f>IF(L7="", "", _xlfn.XLOOKUP(L7, Accreditation_Bodies!B:B, Accreditation_Bodies!A:A))</f>
        <v>1</v>
      </c>
      <c r="N7" s="11" t="s">
        <v>9</v>
      </c>
    </row>
    <row r="8" spans="1:14" x14ac:dyDescent="0.2">
      <c r="A8" s="11">
        <f>( MAX($A$1:A7)+1)</f>
        <v>6</v>
      </c>
      <c r="B8" s="13" t="s">
        <v>30</v>
      </c>
      <c r="C8" s="9">
        <f>IF(B8="", "", _xlfn.XLOOKUP(B8, Faculties!C:C, Faculties!A:A))</f>
        <v>1</v>
      </c>
      <c r="D8" s="11" t="s">
        <v>12</v>
      </c>
      <c r="E8" s="9">
        <f>IF(D8="", "", _xlfn.XLOOKUP(D8, Program_Types!B:B, Program_Types!A:A))</f>
        <v>1</v>
      </c>
      <c r="F8" s="13" t="s">
        <v>59</v>
      </c>
      <c r="G8" s="13" t="s">
        <v>60</v>
      </c>
      <c r="L8" s="11" t="s">
        <v>7</v>
      </c>
      <c r="M8" s="9">
        <f>IF(L8="", "", _xlfn.XLOOKUP(L8, Accreditation_Bodies!B:B, Accreditation_Bodies!A:A))</f>
        <v>1</v>
      </c>
      <c r="N8" s="11" t="s">
        <v>9</v>
      </c>
    </row>
    <row r="9" spans="1:14" x14ac:dyDescent="0.2">
      <c r="A9" s="11">
        <f>( MAX($A$1:A8)+1)</f>
        <v>7</v>
      </c>
      <c r="B9" s="13" t="s">
        <v>32</v>
      </c>
      <c r="C9" s="9">
        <f>IF(B9="", "", _xlfn.XLOOKUP(B9, Faculties!C:C, Faculties!A:A))</f>
        <v>2</v>
      </c>
      <c r="D9" s="11" t="s">
        <v>12</v>
      </c>
      <c r="E9" s="9">
        <f>IF(D9="", "", _xlfn.XLOOKUP(D9, Program_Types!B:B, Program_Types!A:A))</f>
        <v>1</v>
      </c>
      <c r="F9" s="13" t="s">
        <v>61</v>
      </c>
      <c r="G9" s="13" t="s">
        <v>62</v>
      </c>
      <c r="L9" s="11" t="s">
        <v>7</v>
      </c>
      <c r="M9" s="9">
        <f>IF(L9="", "", _xlfn.XLOOKUP(L9, Accreditation_Bodies!B:B, Accreditation_Bodies!A:A))</f>
        <v>1</v>
      </c>
      <c r="N9" s="11" t="s">
        <v>9</v>
      </c>
    </row>
    <row r="10" spans="1:14" x14ac:dyDescent="0.2">
      <c r="A10" s="11">
        <f>( MAX($A$1:A9)+1)</f>
        <v>8</v>
      </c>
      <c r="B10" s="13" t="s">
        <v>34</v>
      </c>
      <c r="C10" s="9">
        <f>IF(B10="", "", _xlfn.XLOOKUP(B10, Faculties!C:C, Faculties!A:A))</f>
        <v>3</v>
      </c>
      <c r="D10" s="11" t="s">
        <v>12</v>
      </c>
      <c r="E10" s="9">
        <f>IF(D10="", "", _xlfn.XLOOKUP(D10, Program_Types!B:B, Program_Types!A:A))</f>
        <v>1</v>
      </c>
      <c r="F10" s="13" t="s">
        <v>63</v>
      </c>
      <c r="G10" s="13" t="s">
        <v>64</v>
      </c>
      <c r="L10" s="11" t="s">
        <v>7</v>
      </c>
      <c r="M10" s="9">
        <f>IF(L10="", "", _xlfn.XLOOKUP(L10, Accreditation_Bodies!B:B, Accreditation_Bodies!A:A))</f>
        <v>1</v>
      </c>
      <c r="N10" s="11" t="s">
        <v>9</v>
      </c>
    </row>
    <row r="11" spans="1:14" x14ac:dyDescent="0.2">
      <c r="A11" s="11">
        <f>( MAX($A$1:A2)+1)</f>
        <v>2</v>
      </c>
      <c r="B11" s="13" t="s">
        <v>34</v>
      </c>
      <c r="C11" s="9">
        <f>IF(B11="", "", _xlfn.XLOOKUP(B11, Faculties!C:C, Faculties!A:A))</f>
        <v>3</v>
      </c>
      <c r="D11" s="11" t="s">
        <v>12</v>
      </c>
      <c r="E11" s="9">
        <f>IF(D11="", "", _xlfn.XLOOKUP(D11, Program_Types!B:B, Program_Types!A:A))</f>
        <v>1</v>
      </c>
      <c r="F11" s="13" t="s">
        <v>65</v>
      </c>
      <c r="G11" s="13" t="s">
        <v>66</v>
      </c>
      <c r="L11" s="11" t="s">
        <v>457</v>
      </c>
      <c r="M11" s="9">
        <f>IF(L11="", "", _xlfn.XLOOKUP(L11, Accreditation_Bodies!B:B, Accreditation_Bodies!A:A))</f>
        <v>2</v>
      </c>
      <c r="N11" s="11" t="s">
        <v>9</v>
      </c>
    </row>
    <row r="12" spans="1:14" x14ac:dyDescent="0.2">
      <c r="A12" s="11">
        <f>( MAX($A$1:A11)+1)</f>
        <v>9</v>
      </c>
      <c r="B12" s="13" t="s">
        <v>34</v>
      </c>
      <c r="C12" s="9">
        <f>IF(B12="", "", _xlfn.XLOOKUP(B12, Faculties!C:C, Faculties!A:A))</f>
        <v>3</v>
      </c>
      <c r="D12" s="11" t="s">
        <v>21</v>
      </c>
      <c r="E12" s="9">
        <f>IF(D12="", "", _xlfn.XLOOKUP(D12, Program_Types!B:B, Program_Types!A:A))</f>
        <v>7</v>
      </c>
      <c r="F12" s="13" t="s">
        <v>67</v>
      </c>
      <c r="G12" s="13" t="s">
        <v>68</v>
      </c>
      <c r="L12" s="11" t="s">
        <v>7</v>
      </c>
      <c r="M12" s="9">
        <f>IF(L12="", "", _xlfn.XLOOKUP(L12, Accreditation_Bodies!B:B, Accreditation_Bodies!A:A))</f>
        <v>1</v>
      </c>
      <c r="N12" s="11" t="s">
        <v>9</v>
      </c>
    </row>
    <row r="13" spans="1:14" x14ac:dyDescent="0.2">
      <c r="A13" s="11">
        <f>( MAX($A$1:A2)+1)</f>
        <v>2</v>
      </c>
      <c r="B13" s="13" t="s">
        <v>34</v>
      </c>
      <c r="C13" s="9">
        <f>IF(B13="", "", _xlfn.XLOOKUP(B13, Faculties!C:C, Faculties!A:A))</f>
        <v>3</v>
      </c>
      <c r="D13" s="11" t="s">
        <v>21</v>
      </c>
      <c r="E13" s="9">
        <f>IF(D13="", "", _xlfn.XLOOKUP(D13, Program_Types!B:B, Program_Types!A:A))</f>
        <v>7</v>
      </c>
      <c r="F13" s="13" t="s">
        <v>69</v>
      </c>
      <c r="G13" s="13" t="s">
        <v>70</v>
      </c>
      <c r="L13" s="11" t="s">
        <v>7</v>
      </c>
      <c r="M13" s="9">
        <f>IF(L13="", "", _xlfn.XLOOKUP(L13, Accreditation_Bodies!B:B, Accreditation_Bodies!A:A))</f>
        <v>1</v>
      </c>
      <c r="N13" s="11" t="s">
        <v>9</v>
      </c>
    </row>
    <row r="14" spans="1:14" x14ac:dyDescent="0.2">
      <c r="A14" s="11">
        <f>( MAX($A$1:A13)+1)</f>
        <v>10</v>
      </c>
      <c r="B14" s="13" t="s">
        <v>36</v>
      </c>
      <c r="C14" s="9">
        <f>IF(B14="", "", _xlfn.XLOOKUP(B14, Faculties!C:C, Faculties!A:A))</f>
        <v>4</v>
      </c>
      <c r="D14" s="11" t="s">
        <v>21</v>
      </c>
      <c r="E14" s="9">
        <f>IF(D14="", "", _xlfn.XLOOKUP(D14, Program_Types!B:B, Program_Types!A:A))</f>
        <v>7</v>
      </c>
      <c r="F14" s="13" t="s">
        <v>71</v>
      </c>
      <c r="G14" s="13" t="s">
        <v>72</v>
      </c>
      <c r="L14" s="11" t="s">
        <v>7</v>
      </c>
      <c r="M14" s="9">
        <f>IF(L14="", "", _xlfn.XLOOKUP(L14, Accreditation_Bodies!B:B, Accreditation_Bodies!A:A))</f>
        <v>1</v>
      </c>
      <c r="N14" s="11" t="s">
        <v>9</v>
      </c>
    </row>
    <row r="15" spans="1:14" x14ac:dyDescent="0.2">
      <c r="A15" s="11">
        <f>( MAX($A$1:A14)+1)</f>
        <v>11</v>
      </c>
      <c r="B15" s="13" t="s">
        <v>38</v>
      </c>
      <c r="C15" s="9">
        <f>IF(B15="", "", _xlfn.XLOOKUP(B15, Faculties!C:C, Faculties!A:A))</f>
        <v>5</v>
      </c>
      <c r="D15" s="11" t="s">
        <v>12</v>
      </c>
      <c r="E15" s="9">
        <f>IF(D15="", "", _xlfn.XLOOKUP(D15, Program_Types!B:B, Program_Types!A:A))</f>
        <v>1</v>
      </c>
      <c r="F15" s="13" t="s">
        <v>73</v>
      </c>
      <c r="G15" s="13" t="s">
        <v>74</v>
      </c>
      <c r="L15" s="11" t="s">
        <v>7</v>
      </c>
      <c r="M15" s="9">
        <f>IF(L15="", "", _xlfn.XLOOKUP(L15, Accreditation_Bodies!B:B, Accreditation_Bodies!A:A))</f>
        <v>1</v>
      </c>
      <c r="N15" s="11" t="s">
        <v>9</v>
      </c>
    </row>
    <row r="16" spans="1:14" x14ac:dyDescent="0.2">
      <c r="A16" s="29">
        <f>( MAX($A$1:A15)+1)</f>
        <v>12</v>
      </c>
      <c r="B16" s="30" t="s">
        <v>466</v>
      </c>
      <c r="C16" s="31">
        <f>IF(B16="", "", _xlfn.XLOOKUP(B16, Faculties!C:C, Faculties!A:A))</f>
        <v>6</v>
      </c>
      <c r="D16" s="32" t="s">
        <v>15</v>
      </c>
      <c r="E16" s="31">
        <f>IF(D16="", "", _xlfn.XLOOKUP(D16, Program_Types!B:B, Program_Types!A:A))</f>
        <v>3</v>
      </c>
      <c r="F16" s="30" t="s">
        <v>467</v>
      </c>
      <c r="G16" s="30" t="s">
        <v>468</v>
      </c>
      <c r="H16" s="32"/>
      <c r="I16" s="32"/>
      <c r="J16" s="32"/>
      <c r="K16" s="32"/>
      <c r="L16" s="32" t="s">
        <v>458</v>
      </c>
      <c r="M16" s="31">
        <f>IF(L16="", "", _xlfn.XLOOKUP(L16, Accreditation_Bodies!B:B, Accreditation_Bodies!A:A))</f>
        <v>3</v>
      </c>
      <c r="N16" s="11" t="s">
        <v>9</v>
      </c>
    </row>
    <row r="17" spans="1:14" x14ac:dyDescent="0.2">
      <c r="A17" s="29">
        <f>( MAX($A$1:A16)+1)</f>
        <v>13</v>
      </c>
      <c r="B17" s="30" t="s">
        <v>473</v>
      </c>
      <c r="C17" s="31">
        <f>IF(B17="", "", _xlfn.XLOOKUP(B17, Faculties!C:C, Faculties!A:A))</f>
        <v>7</v>
      </c>
      <c r="D17" s="32" t="s">
        <v>14</v>
      </c>
      <c r="E17" s="31">
        <f>IF(D17="", "", _xlfn.XLOOKUP(D17, Program_Types!B:B, Program_Types!A:A))</f>
        <v>2</v>
      </c>
      <c r="F17" s="30" t="s">
        <v>476</v>
      </c>
      <c r="G17" s="30" t="s">
        <v>477</v>
      </c>
      <c r="H17" s="32"/>
      <c r="I17" s="32"/>
      <c r="J17" s="32"/>
      <c r="K17" s="32"/>
      <c r="L17" s="32" t="s">
        <v>457</v>
      </c>
      <c r="M17" s="31">
        <f>IF(L17="", "", _xlfn.XLOOKUP(L17, Accreditation_Bodies!B:B, Accreditation_Bodies!A:A))</f>
        <v>2</v>
      </c>
      <c r="N17" s="11" t="s">
        <v>9</v>
      </c>
    </row>
  </sheetData>
  <dataValidations count="3">
    <dataValidation type="list" allowBlank="1" showInputMessage="1" showErrorMessage="1" sqref="D2:D17" xr:uid="{8287655A-52F6-674A-87C4-5895BF5F2F70}">
      <formula1>pro_types</formula1>
    </dataValidation>
    <dataValidation type="list" allowBlank="1" showInputMessage="1" showErrorMessage="1" sqref="L2:L17" xr:uid="{E464A110-C1B0-F54B-AF06-E948F07694F0}">
      <formula1>acc_bodies</formula1>
    </dataValidation>
    <dataValidation type="list" allowBlank="1" showInputMessage="1" showErrorMessage="1" sqref="B2:B17" xr:uid="{717F848F-E0D7-074A-921A-164ECD747AEE}">
      <formula1>faculties_list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69D76A0-034E-BC48-9027-A75FB4571CC1}">
          <x14:formula1>
            <xm:f>Program_Types!$A$2:$A$20</xm:f>
          </x14:formula1>
          <xm:sqref>E2:E17</xm:sqref>
        </x14:dataValidation>
        <x14:dataValidation type="list" allowBlank="1" showInputMessage="1" showErrorMessage="1" xr:uid="{6C0DE198-1395-864D-97CC-CECCDDEE20EE}">
          <x14:formula1>
            <xm:f>IF($B2="", "", _xlfn.XLOOKUP($B2, Faculties!C:C, Faculties!A:A))</xm:f>
          </x14:formula1>
          <xm:sqref>C2:C80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B7B7-2925-F74A-BEAD-DF3363510841}">
  <sheetPr codeName="Sheet3">
    <tabColor theme="9" tint="-0.249977111117893"/>
  </sheetPr>
  <dimension ref="A1:N22"/>
  <sheetViews>
    <sheetView workbookViewId="0">
      <selection activeCell="E18" sqref="B17:E18"/>
    </sheetView>
  </sheetViews>
  <sheetFormatPr baseColWidth="10" defaultColWidth="11.1640625" defaultRowHeight="16" x14ac:dyDescent="0.2"/>
  <cols>
    <col min="1" max="1" width="5.1640625" bestFit="1" customWidth="1"/>
    <col min="2" max="2" width="29.5" bestFit="1" customWidth="1"/>
    <col min="3" max="3" width="13" bestFit="1" customWidth="1"/>
    <col min="4" max="4" width="9.83203125" bestFit="1" customWidth="1"/>
    <col min="5" max="5" width="10.1640625" bestFit="1" customWidth="1"/>
    <col min="6" max="6" width="42.6640625" bestFit="1" customWidth="1"/>
    <col min="7" max="7" width="11" bestFit="1" customWidth="1"/>
    <col min="8" max="8" width="9.5" bestFit="1" customWidth="1"/>
    <col min="9" max="9" width="15.5" bestFit="1" customWidth="1"/>
    <col min="10" max="10" width="13.1640625" bestFit="1" customWidth="1"/>
    <col min="11" max="11" width="12.83203125" bestFit="1" customWidth="1"/>
    <col min="12" max="12" width="9" customWidth="1"/>
    <col min="14" max="14" width="24" bestFit="1" customWidth="1"/>
  </cols>
  <sheetData>
    <row r="1" spans="1:14" x14ac:dyDescent="0.2">
      <c r="A1" s="4" t="s">
        <v>0</v>
      </c>
      <c r="B1" s="4" t="s">
        <v>412</v>
      </c>
      <c r="C1" s="4" t="s">
        <v>75</v>
      </c>
      <c r="D1" s="4" t="s">
        <v>76</v>
      </c>
      <c r="E1" s="4" t="s">
        <v>27</v>
      </c>
      <c r="F1" s="4" t="s">
        <v>1</v>
      </c>
      <c r="G1" s="4" t="s">
        <v>43</v>
      </c>
      <c r="H1" s="4" t="s">
        <v>77</v>
      </c>
      <c r="I1" s="4" t="s">
        <v>78</v>
      </c>
      <c r="J1" s="4" t="s">
        <v>79</v>
      </c>
      <c r="K1" s="4" t="s">
        <v>80</v>
      </c>
      <c r="L1" s="4" t="s">
        <v>6</v>
      </c>
    </row>
    <row r="2" spans="1:14" x14ac:dyDescent="0.2">
      <c r="A2" s="5">
        <f>MAX($A$1:A1)+1</f>
        <v>1</v>
      </c>
      <c r="B2" s="5" t="s">
        <v>48</v>
      </c>
      <c r="C2" s="5">
        <f>IF($B2="", "", _xlfn.XLOOKUP($B2, Programs!G:G, Programs!A:A))</f>
        <v>1</v>
      </c>
      <c r="D2" s="5" t="s">
        <v>8</v>
      </c>
      <c r="E2" s="5" t="s">
        <v>81</v>
      </c>
      <c r="F2" s="5" t="s">
        <v>82</v>
      </c>
      <c r="G2" s="5">
        <v>5</v>
      </c>
      <c r="H2" s="5">
        <v>120</v>
      </c>
      <c r="I2" s="5" t="s">
        <v>8</v>
      </c>
      <c r="J2" s="5" t="s">
        <v>8</v>
      </c>
      <c r="K2" s="5">
        <v>1</v>
      </c>
      <c r="L2" s="5" t="s">
        <v>9</v>
      </c>
      <c r="N2">
        <f>IF(B2="", "", _xlfn.XLOOKUP(B2, Programs!G:G, Programs!A:A))</f>
        <v>1</v>
      </c>
    </row>
    <row r="3" spans="1:14" x14ac:dyDescent="0.2">
      <c r="A3" s="5">
        <f>MAX($A$1:A2)+1</f>
        <v>2</v>
      </c>
      <c r="B3" s="5" t="s">
        <v>50</v>
      </c>
      <c r="C3" s="5">
        <f>IF($B3="", "", _xlfn.XLOOKUP($B3, Programs!G:G, Programs!A:A))</f>
        <v>2</v>
      </c>
      <c r="D3" s="5" t="s">
        <v>8</v>
      </c>
      <c r="E3" s="5" t="s">
        <v>83</v>
      </c>
      <c r="F3" s="5" t="s">
        <v>84</v>
      </c>
      <c r="G3" s="5">
        <v>6</v>
      </c>
      <c r="H3" s="5">
        <v>120</v>
      </c>
      <c r="I3" s="5" t="s">
        <v>8</v>
      </c>
      <c r="J3" s="5" t="s">
        <v>8</v>
      </c>
      <c r="K3" s="5">
        <v>1</v>
      </c>
      <c r="L3" s="5" t="s">
        <v>9</v>
      </c>
    </row>
    <row r="4" spans="1:14" x14ac:dyDescent="0.2">
      <c r="A4" s="5">
        <f>MAX($A$1:A3)+1</f>
        <v>3</v>
      </c>
      <c r="B4" s="5" t="s">
        <v>50</v>
      </c>
      <c r="C4" s="5">
        <f>IF($B4="", "", _xlfn.XLOOKUP($B4, Programs!G:G, Programs!A:A))</f>
        <v>2</v>
      </c>
      <c r="D4" s="5" t="s">
        <v>8</v>
      </c>
      <c r="E4" s="5" t="s">
        <v>85</v>
      </c>
      <c r="F4" s="5" t="s">
        <v>86</v>
      </c>
      <c r="G4" s="5">
        <v>5</v>
      </c>
      <c r="H4" s="5">
        <v>120</v>
      </c>
      <c r="I4" s="5" t="s">
        <v>8</v>
      </c>
      <c r="J4" s="5" t="s">
        <v>8</v>
      </c>
      <c r="K4" s="5">
        <v>1</v>
      </c>
      <c r="L4" s="5" t="s">
        <v>9</v>
      </c>
    </row>
    <row r="5" spans="1:14" x14ac:dyDescent="0.2">
      <c r="A5" s="5">
        <f>MAX($A$1:A4)+1</f>
        <v>4</v>
      </c>
      <c r="B5" s="5" t="s">
        <v>52</v>
      </c>
      <c r="C5" s="5">
        <f>IF($B5="", "", _xlfn.XLOOKUP($B5, Programs!G:G, Programs!A:A))</f>
        <v>3</v>
      </c>
      <c r="D5" s="5" t="s">
        <v>8</v>
      </c>
      <c r="E5" s="5" t="s">
        <v>87</v>
      </c>
      <c r="F5" s="5" t="s">
        <v>88</v>
      </c>
      <c r="G5" s="5">
        <v>5</v>
      </c>
      <c r="H5" s="5">
        <v>120</v>
      </c>
      <c r="I5" s="5" t="s">
        <v>8</v>
      </c>
      <c r="J5" s="5" t="s">
        <v>8</v>
      </c>
      <c r="K5" s="5">
        <v>1</v>
      </c>
      <c r="L5" s="5" t="s">
        <v>9</v>
      </c>
    </row>
    <row r="6" spans="1:14" x14ac:dyDescent="0.2">
      <c r="A6" s="5">
        <f>MAX($A$1:A5)+1</f>
        <v>5</v>
      </c>
      <c r="B6" s="5" t="s">
        <v>54</v>
      </c>
      <c r="C6" s="5">
        <f>IF($B6="", "", _xlfn.XLOOKUP($B6, Programs!G:G, Programs!A:A))</f>
        <v>4</v>
      </c>
      <c r="D6" s="5" t="s">
        <v>8</v>
      </c>
      <c r="E6" s="5" t="s">
        <v>89</v>
      </c>
      <c r="F6" s="5" t="s">
        <v>90</v>
      </c>
      <c r="G6" s="5">
        <v>5</v>
      </c>
      <c r="H6" s="5">
        <v>120</v>
      </c>
      <c r="I6" s="5" t="s">
        <v>8</v>
      </c>
      <c r="J6" s="5" t="s">
        <v>8</v>
      </c>
      <c r="K6" s="5">
        <v>1</v>
      </c>
      <c r="L6" s="5" t="s">
        <v>9</v>
      </c>
    </row>
    <row r="7" spans="1:14" x14ac:dyDescent="0.2">
      <c r="A7" s="5">
        <f>MAX($A$1:A6)+1</f>
        <v>6</v>
      </c>
      <c r="B7" s="5" t="s">
        <v>54</v>
      </c>
      <c r="C7" s="5">
        <f>IF($B7="", "", _xlfn.XLOOKUP($B7, Programs!G:G, Programs!A:A))</f>
        <v>4</v>
      </c>
      <c r="D7" s="5" t="s">
        <v>8</v>
      </c>
      <c r="E7" s="5" t="s">
        <v>91</v>
      </c>
      <c r="F7" s="5" t="s">
        <v>92</v>
      </c>
      <c r="G7" s="5">
        <v>6</v>
      </c>
      <c r="H7" s="5">
        <v>120</v>
      </c>
      <c r="I7" s="5" t="s">
        <v>8</v>
      </c>
      <c r="J7" s="5" t="s">
        <v>8</v>
      </c>
      <c r="K7" s="5">
        <v>1</v>
      </c>
      <c r="L7" s="5" t="s">
        <v>9</v>
      </c>
    </row>
    <row r="8" spans="1:14" x14ac:dyDescent="0.2">
      <c r="A8" s="5">
        <f>MAX($A$1:A7)+1</f>
        <v>7</v>
      </c>
      <c r="B8" s="5" t="s">
        <v>60</v>
      </c>
      <c r="C8" s="5">
        <f>IF($B8="", "", _xlfn.XLOOKUP($B8, Programs!G:G, Programs!A:A))</f>
        <v>6</v>
      </c>
      <c r="D8" s="5" t="s">
        <v>8</v>
      </c>
      <c r="E8" s="5" t="s">
        <v>93</v>
      </c>
      <c r="F8" s="5" t="s">
        <v>94</v>
      </c>
      <c r="G8" s="5">
        <v>5</v>
      </c>
      <c r="H8" s="5">
        <v>60</v>
      </c>
      <c r="I8" s="5" t="s">
        <v>8</v>
      </c>
      <c r="J8" s="5" t="s">
        <v>8</v>
      </c>
      <c r="K8" s="5">
        <v>1</v>
      </c>
      <c r="L8" s="5" t="s">
        <v>9</v>
      </c>
    </row>
    <row r="9" spans="1:14" x14ac:dyDescent="0.2">
      <c r="A9" s="5">
        <f>MAX($A$1:A8)+1</f>
        <v>8</v>
      </c>
      <c r="B9" s="5" t="s">
        <v>64</v>
      </c>
      <c r="C9" s="5">
        <f>IF($B9="", "", _xlfn.XLOOKUP($B9, Programs!G:G, Programs!A:A))</f>
        <v>8</v>
      </c>
      <c r="D9" s="5" t="s">
        <v>8</v>
      </c>
      <c r="E9" s="5" t="s">
        <v>95</v>
      </c>
      <c r="F9" s="5" t="s">
        <v>96</v>
      </c>
      <c r="G9" s="5">
        <v>3</v>
      </c>
      <c r="H9" s="5">
        <v>8</v>
      </c>
      <c r="I9" s="5" t="s">
        <v>8</v>
      </c>
      <c r="J9" s="5" t="s">
        <v>8</v>
      </c>
      <c r="K9" s="5">
        <v>1</v>
      </c>
      <c r="L9" s="5" t="s">
        <v>9</v>
      </c>
    </row>
    <row r="10" spans="1:14" x14ac:dyDescent="0.2">
      <c r="A10" s="5">
        <f>MAX($A$1:A9)+1</f>
        <v>9</v>
      </c>
      <c r="B10" s="5" t="s">
        <v>64</v>
      </c>
      <c r="C10" s="5">
        <f>IF($B10="", "", _xlfn.XLOOKUP($B10, Programs!G:G, Programs!A:A))</f>
        <v>8</v>
      </c>
      <c r="D10" s="5" t="s">
        <v>8</v>
      </c>
      <c r="E10" s="5" t="s">
        <v>97</v>
      </c>
      <c r="F10" s="5" t="s">
        <v>98</v>
      </c>
      <c r="G10" s="5">
        <v>4</v>
      </c>
      <c r="H10" s="5">
        <v>12</v>
      </c>
      <c r="I10" s="5" t="s">
        <v>8</v>
      </c>
      <c r="J10" s="5" t="s">
        <v>8</v>
      </c>
      <c r="K10" s="5">
        <v>1</v>
      </c>
      <c r="L10" s="5" t="s">
        <v>9</v>
      </c>
    </row>
    <row r="11" spans="1:14" x14ac:dyDescent="0.2">
      <c r="A11" s="5">
        <f>MAX($A$1:A10)+1</f>
        <v>10</v>
      </c>
      <c r="B11" s="5" t="s">
        <v>66</v>
      </c>
      <c r="C11" s="5">
        <f>IF($B11="", "", _xlfn.XLOOKUP($B11, Programs!G:G, Programs!A:A))</f>
        <v>2</v>
      </c>
      <c r="D11" s="5" t="s">
        <v>8</v>
      </c>
      <c r="E11" s="5" t="s">
        <v>99</v>
      </c>
      <c r="F11" s="5" t="s">
        <v>100</v>
      </c>
      <c r="G11" s="5">
        <v>3</v>
      </c>
      <c r="H11" s="5">
        <v>8</v>
      </c>
      <c r="I11" s="5" t="s">
        <v>8</v>
      </c>
      <c r="J11" s="5" t="s">
        <v>8</v>
      </c>
      <c r="K11" s="5">
        <v>1</v>
      </c>
      <c r="L11" s="5" t="s">
        <v>9</v>
      </c>
    </row>
    <row r="12" spans="1:14" x14ac:dyDescent="0.2">
      <c r="A12" s="5">
        <f>MAX($A$1:A11)+1</f>
        <v>11</v>
      </c>
      <c r="B12" s="5" t="s">
        <v>68</v>
      </c>
      <c r="C12" s="5">
        <f>IF($B12="", "", _xlfn.XLOOKUP($B12, Programs!G:G, Programs!A:A))</f>
        <v>9</v>
      </c>
      <c r="D12" s="5" t="s">
        <v>8</v>
      </c>
      <c r="E12" s="5" t="s">
        <v>101</v>
      </c>
      <c r="F12" s="5" t="s">
        <v>102</v>
      </c>
      <c r="G12" s="5">
        <v>3</v>
      </c>
      <c r="H12" s="5">
        <v>8</v>
      </c>
      <c r="I12" s="5" t="s">
        <v>8</v>
      </c>
      <c r="J12" s="5" t="s">
        <v>8</v>
      </c>
      <c r="K12" s="5">
        <v>1</v>
      </c>
      <c r="L12" s="5" t="s">
        <v>9</v>
      </c>
    </row>
    <row r="13" spans="1:14" x14ac:dyDescent="0.2">
      <c r="A13" s="5">
        <f>MAX($A$1:A12)+1</f>
        <v>12</v>
      </c>
      <c r="B13" s="5" t="s">
        <v>68</v>
      </c>
      <c r="C13" s="5">
        <f>IF($B13="", "", _xlfn.XLOOKUP($B13, Programs!G:G, Programs!A:A))</f>
        <v>9</v>
      </c>
      <c r="D13" s="5"/>
      <c r="E13" s="5" t="s">
        <v>103</v>
      </c>
      <c r="F13" s="5" t="s">
        <v>104</v>
      </c>
      <c r="G13" s="5">
        <v>4</v>
      </c>
      <c r="H13" s="5">
        <v>12</v>
      </c>
      <c r="I13" s="5" t="s">
        <v>8</v>
      </c>
      <c r="J13" s="5" t="s">
        <v>8</v>
      </c>
      <c r="K13" s="5">
        <v>1</v>
      </c>
      <c r="L13" s="5" t="s">
        <v>9</v>
      </c>
    </row>
    <row r="14" spans="1:14" x14ac:dyDescent="0.2">
      <c r="A14" s="5">
        <f>MAX($A$1:A13)+1</f>
        <v>13</v>
      </c>
      <c r="B14" s="5" t="s">
        <v>68</v>
      </c>
      <c r="C14" s="5">
        <f>IF($B14="", "", _xlfn.XLOOKUP($B14, Programs!G:G, Programs!A:A))</f>
        <v>9</v>
      </c>
      <c r="D14" s="5" t="s">
        <v>8</v>
      </c>
      <c r="E14" s="5" t="s">
        <v>105</v>
      </c>
      <c r="F14" s="5" t="s">
        <v>106</v>
      </c>
      <c r="G14" s="5">
        <v>3</v>
      </c>
      <c r="H14" s="5">
        <v>1</v>
      </c>
      <c r="I14" s="5" t="s">
        <v>8</v>
      </c>
      <c r="J14" s="5" t="s">
        <v>8</v>
      </c>
      <c r="K14" s="5">
        <v>1</v>
      </c>
      <c r="L14" s="5" t="s">
        <v>9</v>
      </c>
    </row>
    <row r="15" spans="1:14" x14ac:dyDescent="0.2">
      <c r="A15" s="5">
        <f>MAX($A$1:A14)+1</f>
        <v>14</v>
      </c>
      <c r="B15" s="5" t="s">
        <v>70</v>
      </c>
      <c r="C15" s="5">
        <f>IF($B15="", "", _xlfn.XLOOKUP($B15, Programs!G:G, Programs!A:A))</f>
        <v>2</v>
      </c>
      <c r="D15" s="5" t="s">
        <v>8</v>
      </c>
      <c r="E15" s="5" t="s">
        <v>107</v>
      </c>
      <c r="F15" s="5" t="s">
        <v>108</v>
      </c>
      <c r="G15" s="5">
        <v>3</v>
      </c>
      <c r="H15" s="5">
        <v>8</v>
      </c>
      <c r="I15" s="5" t="s">
        <v>8</v>
      </c>
      <c r="J15" s="5" t="s">
        <v>8</v>
      </c>
      <c r="K15" s="5">
        <v>1</v>
      </c>
      <c r="L15" s="5" t="s">
        <v>9</v>
      </c>
    </row>
    <row r="16" spans="1:14" x14ac:dyDescent="0.2">
      <c r="A16" s="5">
        <f>MAX($A$1:A15)+1</f>
        <v>15</v>
      </c>
      <c r="B16" s="5" t="s">
        <v>72</v>
      </c>
      <c r="C16" s="5">
        <f>IF($B16="", "", _xlfn.XLOOKUP($B16, Programs!G:G, Programs!A:A))</f>
        <v>10</v>
      </c>
      <c r="D16" s="5" t="s">
        <v>8</v>
      </c>
      <c r="E16" s="5" t="s">
        <v>109</v>
      </c>
      <c r="F16" s="5" t="s">
        <v>72</v>
      </c>
      <c r="G16" s="5">
        <v>5</v>
      </c>
      <c r="H16" s="5">
        <v>60</v>
      </c>
      <c r="I16" s="5" t="s">
        <v>8</v>
      </c>
      <c r="J16" s="5" t="s">
        <v>8</v>
      </c>
      <c r="K16" s="5">
        <v>1</v>
      </c>
      <c r="L16" s="5" t="s">
        <v>9</v>
      </c>
    </row>
    <row r="17" spans="1:12" x14ac:dyDescent="0.2">
      <c r="A17" s="5">
        <f>MAX($A$1:A16)+1</f>
        <v>16</v>
      </c>
      <c r="B17" s="5" t="s">
        <v>74</v>
      </c>
      <c r="C17" s="5">
        <f>IF($B17="", "", _xlfn.XLOOKUP($B17, Programs!G:G, Programs!A:A))</f>
        <v>11</v>
      </c>
      <c r="D17" s="5" t="s">
        <v>8</v>
      </c>
      <c r="E17" s="5" t="s">
        <v>110</v>
      </c>
      <c r="F17" s="5" t="s">
        <v>111</v>
      </c>
      <c r="G17" s="5">
        <v>5</v>
      </c>
      <c r="H17" s="5">
        <v>12</v>
      </c>
      <c r="I17" s="5" t="s">
        <v>8</v>
      </c>
      <c r="J17" s="5" t="s">
        <v>8</v>
      </c>
      <c r="K17" s="5">
        <v>1</v>
      </c>
      <c r="L17" s="5" t="s">
        <v>9</v>
      </c>
    </row>
    <row r="18" spans="1:12" x14ac:dyDescent="0.2">
      <c r="A18" s="33">
        <f>MAX($A$1:A17)+1</f>
        <v>17</v>
      </c>
      <c r="B18" s="34" t="s">
        <v>468</v>
      </c>
      <c r="C18" s="34">
        <f>IF($B18="", "", _xlfn.XLOOKUP($B18, Programs!G:G, Programs!A:A))</f>
        <v>12</v>
      </c>
      <c r="D18" s="34"/>
      <c r="E18" s="34" t="s">
        <v>469</v>
      </c>
      <c r="F18" s="34" t="s">
        <v>470</v>
      </c>
      <c r="G18" s="34">
        <v>3</v>
      </c>
      <c r="H18" s="34">
        <v>21</v>
      </c>
      <c r="I18" s="34"/>
      <c r="J18" s="34"/>
      <c r="K18" s="34">
        <v>1</v>
      </c>
      <c r="L18" s="5" t="s">
        <v>9</v>
      </c>
    </row>
    <row r="19" spans="1:12" x14ac:dyDescent="0.2">
      <c r="A19" s="33">
        <f>MAX($A$1:A18)+1</f>
        <v>18</v>
      </c>
      <c r="B19" s="34" t="s">
        <v>477</v>
      </c>
      <c r="C19" s="34">
        <f>IF($B19="", "", _xlfn.XLOOKUP($B19, Programs!G:G, Programs!A:A))</f>
        <v>13</v>
      </c>
      <c r="D19" s="34"/>
      <c r="E19" s="34" t="s">
        <v>478</v>
      </c>
      <c r="F19" s="34" t="s">
        <v>479</v>
      </c>
      <c r="G19" s="34">
        <v>3</v>
      </c>
      <c r="H19" s="34">
        <v>435</v>
      </c>
      <c r="I19" s="34"/>
      <c r="J19" s="34"/>
      <c r="K19" s="34">
        <v>1</v>
      </c>
      <c r="L19" s="5" t="s">
        <v>9</v>
      </c>
    </row>
    <row r="20" spans="1:12" x14ac:dyDescent="0.2">
      <c r="A20" s="33">
        <f>MAX($A$1:A19)+1</f>
        <v>19</v>
      </c>
      <c r="B20" s="34" t="s">
        <v>477</v>
      </c>
      <c r="C20" s="34">
        <f>IF($B20="", "", _xlfn.XLOOKUP($B20, Programs!G:G, Programs!A:A))</f>
        <v>13</v>
      </c>
      <c r="D20" s="34"/>
      <c r="E20" s="34" t="s">
        <v>480</v>
      </c>
      <c r="F20" s="34" t="s">
        <v>481</v>
      </c>
      <c r="G20" s="34">
        <v>3</v>
      </c>
      <c r="H20" s="34">
        <v>3</v>
      </c>
      <c r="I20" s="34"/>
      <c r="J20" s="34"/>
      <c r="K20" s="34">
        <v>1</v>
      </c>
      <c r="L20" s="5" t="s">
        <v>9</v>
      </c>
    </row>
    <row r="21" spans="1:12" x14ac:dyDescent="0.2">
      <c r="A21" s="33">
        <f>MAX($A$1:A20)+1</f>
        <v>20</v>
      </c>
      <c r="B21" s="34" t="s">
        <v>477</v>
      </c>
      <c r="C21" s="34">
        <f>IF($B21="", "", _xlfn.XLOOKUP($B21, Programs!G:G, Programs!A:A))</f>
        <v>13</v>
      </c>
      <c r="D21" s="34"/>
      <c r="E21" s="34" t="s">
        <v>482</v>
      </c>
      <c r="F21" s="34" t="s">
        <v>483</v>
      </c>
      <c r="G21" s="34">
        <v>34</v>
      </c>
      <c r="H21" s="34">
        <v>345</v>
      </c>
      <c r="I21" s="34"/>
      <c r="J21" s="34"/>
      <c r="K21" s="34">
        <v>1</v>
      </c>
      <c r="L21" s="5" t="s">
        <v>9</v>
      </c>
    </row>
    <row r="22" spans="1:12" x14ac:dyDescent="0.2">
      <c r="A22" s="33">
        <f>MAX($A$1:A21)+1</f>
        <v>21</v>
      </c>
      <c r="B22" s="34" t="s">
        <v>468</v>
      </c>
      <c r="C22" s="34">
        <f>IF($B22="", "", _xlfn.XLOOKUP($B22, Programs!G:G, Programs!A:A))</f>
        <v>12</v>
      </c>
      <c r="D22" s="34"/>
      <c r="E22" s="34" t="s">
        <v>484</v>
      </c>
      <c r="F22" s="34" t="s">
        <v>485</v>
      </c>
      <c r="G22" s="34">
        <v>89</v>
      </c>
      <c r="H22" s="34"/>
      <c r="I22" s="34"/>
      <c r="J22" s="34"/>
      <c r="K22" s="34">
        <v>1</v>
      </c>
      <c r="L22" s="34" t="s">
        <v>9</v>
      </c>
    </row>
  </sheetData>
  <dataValidations count="1">
    <dataValidation type="list" allowBlank="1" showInputMessage="1" showErrorMessage="1" sqref="B2:B19" xr:uid="{D8399C0C-41FE-414C-A4E9-57F94FB44FFF}">
      <formula1>programs_list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BE4948-C63D-7347-8378-8F4CD51CD4C4}">
          <x14:formula1>
            <xm:f>Programs!$G$2:$G$84</xm:f>
          </x14:formula1>
          <xm:sqref>B20:B97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611B-BA9D-1B4E-A64E-00C8ED29DF10}">
  <sheetPr codeName="Sheet4">
    <tabColor theme="9" tint="-0.499984740745262"/>
  </sheetPr>
  <dimension ref="A1:M27"/>
  <sheetViews>
    <sheetView tabSelected="1" workbookViewId="0">
      <selection activeCell="K27" sqref="K27"/>
    </sheetView>
  </sheetViews>
  <sheetFormatPr baseColWidth="10" defaultColWidth="11.1640625" defaultRowHeight="16" x14ac:dyDescent="0.2"/>
  <cols>
    <col min="1" max="1" width="5.1640625" bestFit="1" customWidth="1"/>
    <col min="2" max="2" width="42.6640625" bestFit="1" customWidth="1"/>
    <col min="3" max="3" width="11.6640625" bestFit="1" customWidth="1"/>
    <col min="4" max="4" width="21.6640625" bestFit="1" customWidth="1"/>
    <col min="5" max="5" width="12.5" bestFit="1" customWidth="1"/>
    <col min="6" max="6" width="17.83203125" bestFit="1" customWidth="1"/>
    <col min="7" max="7" width="12.33203125" bestFit="1" customWidth="1"/>
    <col min="8" max="8" width="11.33203125" bestFit="1" customWidth="1"/>
    <col min="9" max="9" width="12" bestFit="1" customWidth="1"/>
    <col min="10" max="10" width="14.5" bestFit="1" customWidth="1"/>
    <col min="11" max="11" width="27.83203125" bestFit="1" customWidth="1"/>
    <col min="12" max="12" width="10.6640625" customWidth="1"/>
    <col min="13" max="13" width="11" bestFit="1" customWidth="1"/>
    <col min="15" max="15" width="10.83203125" customWidth="1"/>
  </cols>
  <sheetData>
    <row r="1" spans="1:13" x14ac:dyDescent="0.2">
      <c r="A1" s="22" t="s">
        <v>0</v>
      </c>
      <c r="B1" s="22" t="s">
        <v>452</v>
      </c>
      <c r="C1" s="22" t="s">
        <v>112</v>
      </c>
      <c r="D1" s="22" t="s">
        <v>450</v>
      </c>
      <c r="E1" s="22" t="s">
        <v>113</v>
      </c>
      <c r="F1" s="22" t="s">
        <v>114</v>
      </c>
      <c r="G1" s="22" t="s">
        <v>115</v>
      </c>
      <c r="H1" s="22" t="s">
        <v>116</v>
      </c>
      <c r="I1" s="22" t="s">
        <v>117</v>
      </c>
      <c r="J1" s="22" t="s">
        <v>118</v>
      </c>
      <c r="K1" s="22" t="s">
        <v>454</v>
      </c>
      <c r="L1" s="22" t="s">
        <v>453</v>
      </c>
      <c r="M1" s="22" t="s">
        <v>120</v>
      </c>
    </row>
    <row r="2" spans="1:13" x14ac:dyDescent="0.2">
      <c r="A2" s="17">
        <f>MAX($A$1:A1)+1</f>
        <v>1</v>
      </c>
      <c r="B2" s="16" t="s">
        <v>82</v>
      </c>
      <c r="C2" s="17">
        <f>IF(B2="", "", _xlfn.XLOOKUP(B2, 'Courses'!F:F, 'Courses'!A:A))</f>
        <v>1</v>
      </c>
      <c r="D2" s="17" t="s">
        <v>375</v>
      </c>
      <c r="E2" s="17">
        <f>IF(D2="", "", _xlfn.XLOOKUP(D2, Staff!C:C, Staff!A:A))</f>
        <v>3</v>
      </c>
      <c r="F2" s="17" t="s">
        <v>121</v>
      </c>
      <c r="G2" s="18">
        <v>0.64166666666666672</v>
      </c>
      <c r="H2" s="18">
        <v>0.41666666666666669</v>
      </c>
      <c r="I2" s="18">
        <f t="shared" ref="I2:I26" si="0">MOD(H2-G2,1)</f>
        <v>0.77499999999999991</v>
      </c>
      <c r="J2" s="17" t="s">
        <v>122</v>
      </c>
      <c r="K2" s="17" t="s">
        <v>432</v>
      </c>
      <c r="L2" s="17">
        <f>IF(K2="", "", _xlfn.XLOOKUP(K2, wp_nds_rooms!C:C, wp_nds_rooms!A:A))</f>
        <v>3</v>
      </c>
      <c r="M2" s="17">
        <v>1</v>
      </c>
    </row>
    <row r="3" spans="1:13" x14ac:dyDescent="0.2">
      <c r="A3" s="20">
        <f>MAX($A$1:A2)+1</f>
        <v>2</v>
      </c>
      <c r="B3" s="19" t="s">
        <v>84</v>
      </c>
      <c r="C3" s="20">
        <f>IF(B3="", "", _xlfn.XLOOKUP(B3, 'Courses'!F:F, 'Courses'!A:A))</f>
        <v>2</v>
      </c>
      <c r="D3" s="20" t="s">
        <v>390</v>
      </c>
      <c r="E3" s="20">
        <f>IF(D3="", "", _xlfn.XLOOKUP(D3, Staff!C:C, Staff!A:A))</f>
        <v>8</v>
      </c>
      <c r="F3" s="20" t="s">
        <v>121</v>
      </c>
      <c r="G3" s="21">
        <v>0.64236111111111116</v>
      </c>
      <c r="H3" s="21">
        <v>0.41666666666666669</v>
      </c>
      <c r="I3" s="21">
        <f t="shared" si="0"/>
        <v>0.77430555555555558</v>
      </c>
      <c r="J3" s="20" t="s">
        <v>122</v>
      </c>
      <c r="K3" s="20" t="s">
        <v>434</v>
      </c>
      <c r="L3" s="20">
        <f>IF(K3="", "", _xlfn.XLOOKUP(K3, wp_nds_rooms!C:C, wp_nds_rooms!A:A))</f>
        <v>4</v>
      </c>
      <c r="M3" s="20">
        <v>1</v>
      </c>
    </row>
    <row r="4" spans="1:13" x14ac:dyDescent="0.2">
      <c r="A4" s="17">
        <f>MAX($A$1:A3)+1</f>
        <v>3</v>
      </c>
      <c r="B4" s="16" t="s">
        <v>84</v>
      </c>
      <c r="C4" s="17">
        <f>IF(B4="", "", _xlfn.XLOOKUP(B4, 'Courses'!F:F, 'Courses'!A:A))</f>
        <v>2</v>
      </c>
      <c r="D4" s="17" t="s">
        <v>375</v>
      </c>
      <c r="E4" s="17">
        <f>IF(D4="", "", _xlfn.XLOOKUP(D4, Staff!C:C, Staff!A:A))</f>
        <v>3</v>
      </c>
      <c r="F4" s="17" t="s">
        <v>123</v>
      </c>
      <c r="G4" s="18">
        <v>0.58333333333333337</v>
      </c>
      <c r="H4" s="18">
        <v>0.70833333333333337</v>
      </c>
      <c r="I4" s="18">
        <f t="shared" si="0"/>
        <v>0.125</v>
      </c>
      <c r="J4" s="17" t="s">
        <v>124</v>
      </c>
      <c r="K4" s="17" t="s">
        <v>437</v>
      </c>
      <c r="L4" s="17">
        <f>IF(K4="", "", _xlfn.XLOOKUP(K4, wp_nds_rooms!C:C, wp_nds_rooms!A:A))</f>
        <v>5</v>
      </c>
      <c r="M4" s="17">
        <v>1</v>
      </c>
    </row>
    <row r="5" spans="1:13" x14ac:dyDescent="0.2">
      <c r="A5" s="20">
        <f>MAX($A$1:A4)+1</f>
        <v>4</v>
      </c>
      <c r="B5" s="19" t="s">
        <v>84</v>
      </c>
      <c r="C5" s="20">
        <f>IF(B5="", "", _xlfn.XLOOKUP(B5, 'Courses'!F:F, 'Courses'!A:A))</f>
        <v>2</v>
      </c>
      <c r="D5" s="20" t="s">
        <v>387</v>
      </c>
      <c r="E5" s="20">
        <f>IF(D5="", "", _xlfn.XLOOKUP(D5, Staff!C:C, Staff!A:A))</f>
        <v>7</v>
      </c>
      <c r="F5" s="20" t="s">
        <v>123</v>
      </c>
      <c r="G5" s="21">
        <v>0.58333333333333337</v>
      </c>
      <c r="H5" s="21">
        <v>0.70833333333333337</v>
      </c>
      <c r="I5" s="21">
        <f t="shared" si="0"/>
        <v>0.125</v>
      </c>
      <c r="J5" s="20" t="s">
        <v>124</v>
      </c>
      <c r="K5" s="20" t="s">
        <v>432</v>
      </c>
      <c r="L5" s="20">
        <f>IF(K5="", "", _xlfn.XLOOKUP(K5, wp_nds_rooms!C:C, wp_nds_rooms!A:A))</f>
        <v>3</v>
      </c>
      <c r="M5" s="20">
        <v>1</v>
      </c>
    </row>
    <row r="6" spans="1:13" x14ac:dyDescent="0.2">
      <c r="A6" s="17">
        <f>MAX($A$1:A5)+1</f>
        <v>5</v>
      </c>
      <c r="B6" s="16" t="s">
        <v>86</v>
      </c>
      <c r="C6" s="17">
        <f>IF(B6="", "", _xlfn.XLOOKUP(B6, 'Courses'!F:F, 'Courses'!A:A))</f>
        <v>3</v>
      </c>
      <c r="D6" s="17" t="s">
        <v>387</v>
      </c>
      <c r="E6" s="17">
        <f>IF(D6="", "", _xlfn.XLOOKUP(D6, Staff!C:C, Staff!A:A))</f>
        <v>7</v>
      </c>
      <c r="F6" s="17" t="s">
        <v>121</v>
      </c>
      <c r="G6" s="18">
        <v>0.33333333333333331</v>
      </c>
      <c r="H6" s="18">
        <v>0.41666666666666669</v>
      </c>
      <c r="I6" s="18">
        <f t="shared" si="0"/>
        <v>8.333333333333337E-2</v>
      </c>
      <c r="J6" s="17" t="s">
        <v>122</v>
      </c>
      <c r="K6" s="17" t="s">
        <v>432</v>
      </c>
      <c r="L6" s="17">
        <f>IF(K6="", "", _xlfn.XLOOKUP(K6, wp_nds_rooms!C:C, wp_nds_rooms!A:A))</f>
        <v>3</v>
      </c>
      <c r="M6" s="17">
        <v>1</v>
      </c>
    </row>
    <row r="7" spans="1:13" x14ac:dyDescent="0.2">
      <c r="A7" s="20">
        <f>MAX($A$1:A6)+1</f>
        <v>6</v>
      </c>
      <c r="B7" s="19" t="s">
        <v>88</v>
      </c>
      <c r="C7" s="20">
        <f>IF(B7="", "", _xlfn.XLOOKUP(B7, 'Courses'!F:F, 'Courses'!A:A))</f>
        <v>4</v>
      </c>
      <c r="D7" s="20" t="s">
        <v>384</v>
      </c>
      <c r="E7" s="20">
        <f>IF(D7="", "", _xlfn.XLOOKUP(D7, Staff!C:C, Staff!A:A))</f>
        <v>6</v>
      </c>
      <c r="F7" s="20" t="s">
        <v>121</v>
      </c>
      <c r="G7" s="21">
        <v>0.33333333333333331</v>
      </c>
      <c r="H7" s="21">
        <v>0.41666666666666669</v>
      </c>
      <c r="I7" s="21">
        <f t="shared" si="0"/>
        <v>8.333333333333337E-2</v>
      </c>
      <c r="J7" s="20" t="s">
        <v>122</v>
      </c>
      <c r="K7" s="20" t="s">
        <v>420</v>
      </c>
      <c r="L7" s="20">
        <f>IF(K7="", "", _xlfn.XLOOKUP(K7, wp_nds_rooms!C:C, wp_nds_rooms!A:A))</f>
        <v>1</v>
      </c>
      <c r="M7" s="20">
        <v>1</v>
      </c>
    </row>
    <row r="8" spans="1:13" x14ac:dyDescent="0.2">
      <c r="A8" s="17">
        <f>MAX($A$1:A7)+1</f>
        <v>7</v>
      </c>
      <c r="B8" s="16" t="s">
        <v>90</v>
      </c>
      <c r="C8" s="17">
        <f>IF(B8="", "", _xlfn.XLOOKUP(B8, 'Courses'!F:F, 'Courses'!A:A))</f>
        <v>5</v>
      </c>
      <c r="D8" s="17" t="s">
        <v>387</v>
      </c>
      <c r="E8" s="17">
        <f>IF(D8="", "", _xlfn.XLOOKUP(D8, Staff!C:C, Staff!A:A))</f>
        <v>7</v>
      </c>
      <c r="F8" s="17" t="s">
        <v>121</v>
      </c>
      <c r="G8" s="18">
        <v>0.33333333333333331</v>
      </c>
      <c r="H8" s="18">
        <v>0.41666666666666669</v>
      </c>
      <c r="I8" s="18">
        <f t="shared" si="0"/>
        <v>8.333333333333337E-2</v>
      </c>
      <c r="J8" s="17" t="s">
        <v>122</v>
      </c>
      <c r="K8" s="17" t="s">
        <v>434</v>
      </c>
      <c r="L8" s="17">
        <f>IF(K8="", "", _xlfn.XLOOKUP(K8, wp_nds_rooms!C:C, wp_nds_rooms!A:A))</f>
        <v>4</v>
      </c>
      <c r="M8" s="17">
        <v>1</v>
      </c>
    </row>
    <row r="9" spans="1:13" x14ac:dyDescent="0.2">
      <c r="A9" s="20">
        <f>MAX($A$1:A8)+1</f>
        <v>8</v>
      </c>
      <c r="B9" s="19" t="s">
        <v>92</v>
      </c>
      <c r="C9" s="20">
        <f>IF(B9="", "", _xlfn.XLOOKUP(B9, 'Courses'!F:F, 'Courses'!A:A))</f>
        <v>6</v>
      </c>
      <c r="D9" s="20" t="s">
        <v>387</v>
      </c>
      <c r="E9" s="20">
        <f>IF(D9="", "", _xlfn.XLOOKUP(D9, Staff!C:C, Staff!A:A))</f>
        <v>7</v>
      </c>
      <c r="F9" s="20" t="s">
        <v>121</v>
      </c>
      <c r="G9" s="21">
        <v>0.33333333333333331</v>
      </c>
      <c r="H9" s="21">
        <v>0.41666666666666669</v>
      </c>
      <c r="I9" s="21">
        <f t="shared" si="0"/>
        <v>8.333333333333337E-2</v>
      </c>
      <c r="J9" s="20" t="s">
        <v>122</v>
      </c>
      <c r="K9" s="20" t="s">
        <v>420</v>
      </c>
      <c r="L9" s="20">
        <f>IF(K9="", "", _xlfn.XLOOKUP(K9, wp_nds_rooms!C:C, wp_nds_rooms!A:A))</f>
        <v>1</v>
      </c>
      <c r="M9" s="20">
        <v>1</v>
      </c>
    </row>
    <row r="10" spans="1:13" x14ac:dyDescent="0.2">
      <c r="A10" s="17">
        <f>MAX($A$1:A9)+1</f>
        <v>9</v>
      </c>
      <c r="B10" s="16" t="s">
        <v>94</v>
      </c>
      <c r="C10" s="17">
        <f>IF(B10="", "", _xlfn.XLOOKUP(B10, 'Courses'!F:F, 'Courses'!A:A))</f>
        <v>7</v>
      </c>
      <c r="D10" s="17" t="s">
        <v>387</v>
      </c>
      <c r="E10" s="17">
        <f>IF(D10="", "", _xlfn.XLOOKUP(D10, Staff!C:C, Staff!A:A))</f>
        <v>7</v>
      </c>
      <c r="F10" s="17" t="s">
        <v>121</v>
      </c>
      <c r="G10" s="18">
        <v>0.33333333333333331</v>
      </c>
      <c r="H10" s="18">
        <v>0.41666666666666669</v>
      </c>
      <c r="I10" s="18">
        <f t="shared" si="0"/>
        <v>8.333333333333337E-2</v>
      </c>
      <c r="J10" s="17" t="s">
        <v>122</v>
      </c>
      <c r="K10" s="17" t="s">
        <v>437</v>
      </c>
      <c r="L10" s="17">
        <f>IF(K10="", "", _xlfn.XLOOKUP(K10, wp_nds_rooms!C:C, wp_nds_rooms!A:A))</f>
        <v>5</v>
      </c>
      <c r="M10" s="17">
        <v>1</v>
      </c>
    </row>
    <row r="11" spans="1:13" x14ac:dyDescent="0.2">
      <c r="A11" s="20">
        <f>MAX($A$1:A10)+1</f>
        <v>10</v>
      </c>
      <c r="B11" s="19" t="s">
        <v>96</v>
      </c>
      <c r="C11" s="20">
        <f>IF(B11="", "", _xlfn.XLOOKUP(B11, 'Courses'!F:F, 'Courses'!A:A))</f>
        <v>8</v>
      </c>
      <c r="D11" s="20" t="s">
        <v>387</v>
      </c>
      <c r="E11" s="20">
        <f>IF(D11="", "", _xlfn.XLOOKUP(D11, Staff!C:C, Staff!A:A))</f>
        <v>7</v>
      </c>
      <c r="F11" s="20" t="s">
        <v>121</v>
      </c>
      <c r="G11" s="21">
        <v>0.33333333333333331</v>
      </c>
      <c r="H11" s="21">
        <v>0.5</v>
      </c>
      <c r="I11" s="21">
        <f t="shared" si="0"/>
        <v>0.16666666666666669</v>
      </c>
      <c r="J11" s="20" t="s">
        <v>122</v>
      </c>
      <c r="K11" s="20" t="s">
        <v>426</v>
      </c>
      <c r="L11" s="20">
        <f>IF(K11="", "", _xlfn.XLOOKUP(K11, wp_nds_rooms!C:C, wp_nds_rooms!A:A))</f>
        <v>2</v>
      </c>
      <c r="M11" s="20">
        <v>1</v>
      </c>
    </row>
    <row r="12" spans="1:13" x14ac:dyDescent="0.2">
      <c r="A12" s="17">
        <f>MAX($A$1:A11)+1</f>
        <v>11</v>
      </c>
      <c r="B12" s="16" t="s">
        <v>96</v>
      </c>
      <c r="C12" s="17">
        <f>IF(B12="", "", _xlfn.XLOOKUP(B12, 'Courses'!F:F, 'Courses'!A:A))</f>
        <v>8</v>
      </c>
      <c r="D12" s="17" t="s">
        <v>387</v>
      </c>
      <c r="E12" s="17">
        <f>IF(D12="", "", _xlfn.XLOOKUP(D12, Staff!C:C, Staff!A:A))</f>
        <v>7</v>
      </c>
      <c r="F12" s="17" t="s">
        <v>125</v>
      </c>
      <c r="G12" s="18">
        <v>0.375</v>
      </c>
      <c r="H12" s="18">
        <v>0.625</v>
      </c>
      <c r="I12" s="18">
        <f t="shared" si="0"/>
        <v>0.25</v>
      </c>
      <c r="J12" s="17" t="s">
        <v>126</v>
      </c>
      <c r="K12" s="17" t="s">
        <v>426</v>
      </c>
      <c r="L12" s="17">
        <f>IF(K12="", "", _xlfn.XLOOKUP(K12, wp_nds_rooms!C:C, wp_nds_rooms!A:A))</f>
        <v>2</v>
      </c>
      <c r="M12" s="17">
        <v>1</v>
      </c>
    </row>
    <row r="13" spans="1:13" x14ac:dyDescent="0.2">
      <c r="A13" s="20">
        <f>MAX($A$1:A12)+1</f>
        <v>12</v>
      </c>
      <c r="B13" s="19" t="s">
        <v>96</v>
      </c>
      <c r="C13" s="20">
        <f>IF(B13="", "", _xlfn.XLOOKUP(B13, 'Courses'!F:F, 'Courses'!A:A))</f>
        <v>8</v>
      </c>
      <c r="D13" s="20" t="s">
        <v>381</v>
      </c>
      <c r="E13" s="20">
        <f>IF(D13="", "", _xlfn.XLOOKUP(D13, Staff!C:C, Staff!A:A))</f>
        <v>5</v>
      </c>
      <c r="F13" s="20" t="s">
        <v>123</v>
      </c>
      <c r="G13" s="21">
        <v>0.58333333333333337</v>
      </c>
      <c r="H13" s="21">
        <v>0.70833333333333337</v>
      </c>
      <c r="I13" s="21">
        <f t="shared" si="0"/>
        <v>0.125</v>
      </c>
      <c r="J13" s="20" t="s">
        <v>124</v>
      </c>
      <c r="K13" s="20" t="s">
        <v>420</v>
      </c>
      <c r="L13" s="20">
        <f>IF(K13="", "", _xlfn.XLOOKUP(K13, wp_nds_rooms!C:C, wp_nds_rooms!A:A))</f>
        <v>1</v>
      </c>
      <c r="M13" s="20">
        <v>1</v>
      </c>
    </row>
    <row r="14" spans="1:13" x14ac:dyDescent="0.2">
      <c r="A14" s="17">
        <f>MAX($A$1:A13)+1</f>
        <v>13</v>
      </c>
      <c r="B14" s="16" t="s">
        <v>96</v>
      </c>
      <c r="C14" s="17">
        <f>IF(B14="", "", _xlfn.XLOOKUP(B14, 'Courses'!F:F, 'Courses'!A:A))</f>
        <v>8</v>
      </c>
      <c r="D14" s="17" t="s">
        <v>387</v>
      </c>
      <c r="E14" s="17">
        <f>IF(D14="", "", _xlfn.XLOOKUP(D14, Staff!C:C, Staff!A:A))</f>
        <v>7</v>
      </c>
      <c r="F14" s="17" t="s">
        <v>123</v>
      </c>
      <c r="G14" s="18">
        <v>0.58333333333333337</v>
      </c>
      <c r="H14" s="18">
        <v>0.70833333333333337</v>
      </c>
      <c r="I14" s="18">
        <f t="shared" si="0"/>
        <v>0.125</v>
      </c>
      <c r="J14" s="17" t="s">
        <v>124</v>
      </c>
      <c r="K14" s="17" t="s">
        <v>437</v>
      </c>
      <c r="L14" s="17">
        <f>IF(K14="", "", _xlfn.XLOOKUP(K14, wp_nds_rooms!C:C, wp_nds_rooms!A:A))</f>
        <v>5</v>
      </c>
      <c r="M14" s="17">
        <v>1</v>
      </c>
    </row>
    <row r="15" spans="1:13" x14ac:dyDescent="0.2">
      <c r="A15" s="20">
        <f>MAX($A$1:A14)+1</f>
        <v>14</v>
      </c>
      <c r="B15" s="19" t="s">
        <v>98</v>
      </c>
      <c r="C15" s="20">
        <f>IF(B15="", "", _xlfn.XLOOKUP(B15, 'Courses'!F:F, 'Courses'!A:A))</f>
        <v>9</v>
      </c>
      <c r="D15" s="20" t="s">
        <v>387</v>
      </c>
      <c r="E15" s="20">
        <f>IF(D15="", "", _xlfn.XLOOKUP(D15, Staff!C:C, Staff!A:A))</f>
        <v>7</v>
      </c>
      <c r="F15" s="20" t="s">
        <v>121</v>
      </c>
      <c r="G15" s="21">
        <v>0.33333333333333331</v>
      </c>
      <c r="H15" s="21">
        <v>0.45833333333333331</v>
      </c>
      <c r="I15" s="21">
        <f t="shared" si="0"/>
        <v>0.125</v>
      </c>
      <c r="J15" s="20" t="s">
        <v>122</v>
      </c>
      <c r="K15" s="20" t="s">
        <v>420</v>
      </c>
      <c r="L15" s="20">
        <f>IF(K15="", "", _xlfn.XLOOKUP(K15, wp_nds_rooms!C:C, wp_nds_rooms!A:A))</f>
        <v>1</v>
      </c>
      <c r="M15" s="20">
        <v>1</v>
      </c>
    </row>
    <row r="16" spans="1:13" x14ac:dyDescent="0.2">
      <c r="A16" s="17">
        <f>MAX($A$1:A15)+1</f>
        <v>15</v>
      </c>
      <c r="B16" s="16" t="s">
        <v>98</v>
      </c>
      <c r="C16" s="17">
        <f>IF(B16="", "", _xlfn.XLOOKUP(B16, 'Courses'!F:F, 'Courses'!A:A))</f>
        <v>9</v>
      </c>
      <c r="D16" s="17" t="s">
        <v>387</v>
      </c>
      <c r="E16" s="17">
        <f>IF(D16="", "", _xlfn.XLOOKUP(D16, Staff!C:C, Staff!A:A))</f>
        <v>7</v>
      </c>
      <c r="F16" s="17" t="s">
        <v>125</v>
      </c>
      <c r="G16" s="18">
        <v>0.375</v>
      </c>
      <c r="H16" s="18">
        <v>0.54166666666666663</v>
      </c>
      <c r="I16" s="18">
        <f t="shared" si="0"/>
        <v>0.16666666666666663</v>
      </c>
      <c r="J16" s="17" t="s">
        <v>126</v>
      </c>
      <c r="K16" s="17" t="s">
        <v>442</v>
      </c>
      <c r="L16" s="17">
        <f>IF(K16="", "", _xlfn.XLOOKUP(K16, wp_nds_rooms!C:C, wp_nds_rooms!A:A))</f>
        <v>6</v>
      </c>
      <c r="M16" s="17">
        <v>1</v>
      </c>
    </row>
    <row r="17" spans="1:13" x14ac:dyDescent="0.2">
      <c r="A17" s="20">
        <f>MAX($A$1:A16)+1</f>
        <v>16</v>
      </c>
      <c r="B17" s="19" t="s">
        <v>98</v>
      </c>
      <c r="C17" s="20">
        <f>IF(B17="", "", _xlfn.XLOOKUP(B17, 'Courses'!F:F, 'Courses'!A:A))</f>
        <v>9</v>
      </c>
      <c r="D17" s="20" t="s">
        <v>378</v>
      </c>
      <c r="E17" s="20">
        <f>IF(D17="", "", _xlfn.XLOOKUP(D17, Staff!C:C, Staff!A:A))</f>
        <v>4</v>
      </c>
      <c r="F17" s="20" t="s">
        <v>123</v>
      </c>
      <c r="G17" s="21">
        <v>0.58333333333333337</v>
      </c>
      <c r="H17" s="21">
        <v>0.70833333333333337</v>
      </c>
      <c r="I17" s="21">
        <f t="shared" si="0"/>
        <v>0.125</v>
      </c>
      <c r="J17" s="20" t="s">
        <v>124</v>
      </c>
      <c r="K17" s="20" t="s">
        <v>437</v>
      </c>
      <c r="L17" s="20">
        <f>IF(K17="", "", _xlfn.XLOOKUP(K17, wp_nds_rooms!C:C, wp_nds_rooms!A:A))</f>
        <v>5</v>
      </c>
      <c r="M17" s="20">
        <v>1</v>
      </c>
    </row>
    <row r="18" spans="1:13" x14ac:dyDescent="0.2">
      <c r="A18" s="17">
        <f>MAX($A$1:A17)+1</f>
        <v>17</v>
      </c>
      <c r="B18" s="16" t="s">
        <v>98</v>
      </c>
      <c r="C18" s="17">
        <f>IF(B18="", "", _xlfn.XLOOKUP(B18, 'Courses'!F:F, 'Courses'!A:A))</f>
        <v>9</v>
      </c>
      <c r="D18" s="17" t="s">
        <v>387</v>
      </c>
      <c r="E18" s="17">
        <f>IF(D18="", "", _xlfn.XLOOKUP(D18, Staff!C:C, Staff!A:A))</f>
        <v>7</v>
      </c>
      <c r="F18" s="17" t="s">
        <v>123</v>
      </c>
      <c r="G18" s="18">
        <v>0.58333333333333337</v>
      </c>
      <c r="H18" s="18">
        <v>0.70833333333333337</v>
      </c>
      <c r="I18" s="18">
        <f t="shared" si="0"/>
        <v>0.125</v>
      </c>
      <c r="J18" s="17" t="s">
        <v>124</v>
      </c>
      <c r="K18" s="17" t="s">
        <v>448</v>
      </c>
      <c r="L18" s="17">
        <f>IF(K18="", "", _xlfn.XLOOKUP(K18, wp_nds_rooms!C:C, wp_nds_rooms!A:A))</f>
        <v>8</v>
      </c>
      <c r="M18" s="17">
        <v>1</v>
      </c>
    </row>
    <row r="19" spans="1:13" x14ac:dyDescent="0.2">
      <c r="A19" s="20">
        <f>MAX($A$1:A18)+1</f>
        <v>18</v>
      </c>
      <c r="B19" s="19" t="s">
        <v>100</v>
      </c>
      <c r="C19" s="20">
        <f>IF(B19="", "", _xlfn.XLOOKUP(B19, 'Courses'!F:F, 'Courses'!A:A))</f>
        <v>10</v>
      </c>
      <c r="D19" s="20" t="s">
        <v>387</v>
      </c>
      <c r="E19" s="20">
        <f>IF(D19="", "", _xlfn.XLOOKUP(D19, Staff!C:C, Staff!A:A))</f>
        <v>7</v>
      </c>
      <c r="F19" s="20" t="s">
        <v>121</v>
      </c>
      <c r="G19" s="21">
        <v>0.33333333333333331</v>
      </c>
      <c r="H19" s="21">
        <v>0.5</v>
      </c>
      <c r="I19" s="21">
        <f t="shared" si="0"/>
        <v>0.16666666666666669</v>
      </c>
      <c r="J19" s="20" t="s">
        <v>122</v>
      </c>
      <c r="K19" s="20" t="s">
        <v>445</v>
      </c>
      <c r="L19" s="20">
        <f>IF(K19="", "", _xlfn.XLOOKUP(K19, wp_nds_rooms!C:C, wp_nds_rooms!A:A))</f>
        <v>7</v>
      </c>
      <c r="M19" s="20">
        <v>1</v>
      </c>
    </row>
    <row r="20" spans="1:13" x14ac:dyDescent="0.2">
      <c r="A20" s="17">
        <f>MAX($A$1:A19)+1</f>
        <v>19</v>
      </c>
      <c r="B20" s="16" t="s">
        <v>102</v>
      </c>
      <c r="C20" s="17">
        <f>IF(B20="", "", _xlfn.XLOOKUP(B20, 'Courses'!F:F, 'Courses'!A:A))</f>
        <v>11</v>
      </c>
      <c r="D20" s="17" t="s">
        <v>387</v>
      </c>
      <c r="E20" s="17">
        <f>IF(D20="", "", _xlfn.XLOOKUP(D20, Staff!C:C, Staff!A:A))</f>
        <v>7</v>
      </c>
      <c r="F20" s="17" t="s">
        <v>121</v>
      </c>
      <c r="G20" s="18">
        <v>0.33333333333333331</v>
      </c>
      <c r="H20" s="18">
        <v>0.5</v>
      </c>
      <c r="I20" s="18">
        <f t="shared" si="0"/>
        <v>0.16666666666666669</v>
      </c>
      <c r="J20" s="17" t="s">
        <v>122</v>
      </c>
      <c r="K20" s="17" t="s">
        <v>420</v>
      </c>
      <c r="L20" s="17">
        <f>IF(K20="", "", _xlfn.XLOOKUP(K20, wp_nds_rooms!C:C, wp_nds_rooms!A:A))</f>
        <v>1</v>
      </c>
      <c r="M20" s="17">
        <v>1</v>
      </c>
    </row>
    <row r="21" spans="1:13" x14ac:dyDescent="0.2">
      <c r="A21" s="20">
        <f>MAX($A$1:A20)+1</f>
        <v>20</v>
      </c>
      <c r="B21" s="19" t="s">
        <v>104</v>
      </c>
      <c r="C21" s="20">
        <f>IF(B21="", "", _xlfn.XLOOKUP(B21, 'Courses'!F:F, 'Courses'!A:A))</f>
        <v>12</v>
      </c>
      <c r="D21" s="20" t="s">
        <v>372</v>
      </c>
      <c r="E21" s="20">
        <f>IF(D21="", "", _xlfn.XLOOKUP(D21, Staff!C:C, Staff!A:A))</f>
        <v>2</v>
      </c>
      <c r="F21" s="20" t="s">
        <v>121</v>
      </c>
      <c r="G21" s="21">
        <v>0.33333333333333331</v>
      </c>
      <c r="H21" s="21">
        <v>0.45833333333333331</v>
      </c>
      <c r="I21" s="21">
        <f t="shared" si="0"/>
        <v>0.125</v>
      </c>
      <c r="J21" s="20" t="s">
        <v>122</v>
      </c>
      <c r="K21" s="20" t="s">
        <v>445</v>
      </c>
      <c r="L21" s="20">
        <f>IF(K21="", "", _xlfn.XLOOKUP(K21, wp_nds_rooms!C:C, wp_nds_rooms!A:A))</f>
        <v>7</v>
      </c>
      <c r="M21" s="20">
        <v>1</v>
      </c>
    </row>
    <row r="22" spans="1:13" x14ac:dyDescent="0.2">
      <c r="A22" s="17">
        <f>MAX($A$1:A21)+1</f>
        <v>21</v>
      </c>
      <c r="B22" s="16" t="s">
        <v>106</v>
      </c>
      <c r="C22" s="17">
        <f>IF(B22="", "", _xlfn.XLOOKUP(B22, 'Courses'!F:F, 'Courses'!A:A))</f>
        <v>13</v>
      </c>
      <c r="D22" s="17" t="s">
        <v>390</v>
      </c>
      <c r="E22" s="17">
        <f>IF(D22="", "", _xlfn.XLOOKUP(D22, Staff!C:C, Staff!A:A))</f>
        <v>8</v>
      </c>
      <c r="F22" s="17" t="s">
        <v>121</v>
      </c>
      <c r="G22" s="18">
        <v>0.33333333333333331</v>
      </c>
      <c r="H22" s="18">
        <v>0.5</v>
      </c>
      <c r="I22" s="18">
        <f t="shared" si="0"/>
        <v>0.16666666666666669</v>
      </c>
      <c r="J22" s="17" t="s">
        <v>122</v>
      </c>
      <c r="K22" s="17" t="s">
        <v>445</v>
      </c>
      <c r="L22" s="17">
        <f>IF(K22="", "", _xlfn.XLOOKUP(K22, wp_nds_rooms!C:C, wp_nds_rooms!A:A))</f>
        <v>7</v>
      </c>
      <c r="M22" s="17">
        <v>1</v>
      </c>
    </row>
    <row r="23" spans="1:13" x14ac:dyDescent="0.2">
      <c r="A23" s="20">
        <f>MAX($A$1:A22)+1</f>
        <v>22</v>
      </c>
      <c r="B23" s="19" t="s">
        <v>108</v>
      </c>
      <c r="C23" s="20">
        <f>IF(B23="", "", _xlfn.XLOOKUP(B23, 'Courses'!F:F, 'Courses'!A:A))</f>
        <v>14</v>
      </c>
      <c r="D23" s="20" t="s">
        <v>392</v>
      </c>
      <c r="E23" s="20">
        <f>IF(D23="", "", _xlfn.XLOOKUP(D23, Staff!C:C, Staff!A:A))</f>
        <v>9</v>
      </c>
      <c r="F23" s="20" t="s">
        <v>121</v>
      </c>
      <c r="G23" s="21">
        <v>0.33333333333333331</v>
      </c>
      <c r="H23" s="21">
        <v>0.5</v>
      </c>
      <c r="I23" s="21">
        <f t="shared" si="0"/>
        <v>0.16666666666666669</v>
      </c>
      <c r="J23" s="20" t="s">
        <v>122</v>
      </c>
      <c r="K23" s="20" t="s">
        <v>432</v>
      </c>
      <c r="L23" s="20">
        <f>IF(K23="", "", _xlfn.XLOOKUP(K23, wp_nds_rooms!C:C, wp_nds_rooms!A:A))</f>
        <v>3</v>
      </c>
      <c r="M23" s="20">
        <v>1</v>
      </c>
    </row>
    <row r="24" spans="1:13" x14ac:dyDescent="0.2">
      <c r="A24" s="17">
        <f>MAX($A$1:A23)+1</f>
        <v>23</v>
      </c>
      <c r="B24" s="16" t="s">
        <v>72</v>
      </c>
      <c r="C24" s="17">
        <f>IF(B24="", "", _xlfn.XLOOKUP(B24, 'Courses'!F:F, 'Courses'!A:A))</f>
        <v>15</v>
      </c>
      <c r="D24" s="17" t="s">
        <v>387</v>
      </c>
      <c r="E24" s="17">
        <f>IF(D24="", "", _xlfn.XLOOKUP(D24, Staff!C:C, Staff!A:A))</f>
        <v>7</v>
      </c>
      <c r="F24" s="17" t="s">
        <v>121</v>
      </c>
      <c r="G24" s="18">
        <v>0.33333333333333331</v>
      </c>
      <c r="H24" s="18">
        <v>0.41666666666666669</v>
      </c>
      <c r="I24" s="18">
        <f t="shared" si="0"/>
        <v>8.333333333333337E-2</v>
      </c>
      <c r="J24" s="17" t="s">
        <v>122</v>
      </c>
      <c r="K24" s="17" t="s">
        <v>426</v>
      </c>
      <c r="L24" s="17">
        <f>IF(K24="", "", _xlfn.XLOOKUP(K24, wp_nds_rooms!C:C, wp_nds_rooms!A:A))</f>
        <v>2</v>
      </c>
      <c r="M24" s="17">
        <v>1</v>
      </c>
    </row>
    <row r="25" spans="1:13" x14ac:dyDescent="0.2">
      <c r="A25" s="20">
        <f>MAX($A$1:A24)+1</f>
        <v>24</v>
      </c>
      <c r="B25" s="19" t="s">
        <v>72</v>
      </c>
      <c r="C25" s="20">
        <f>IF(B25="", "", _xlfn.XLOOKUP(B25, 'Courses'!F:F, 'Courses'!A:A))</f>
        <v>15</v>
      </c>
      <c r="D25" s="20" t="s">
        <v>381</v>
      </c>
      <c r="E25" s="20">
        <f>IF(D25="", "", _xlfn.XLOOKUP(D25, Staff!C:C, Staff!A:A))</f>
        <v>5</v>
      </c>
      <c r="F25" s="20" t="s">
        <v>123</v>
      </c>
      <c r="G25" s="21">
        <v>0.58333333333333337</v>
      </c>
      <c r="H25" s="21">
        <v>0.70833333333333337</v>
      </c>
      <c r="I25" s="21">
        <f t="shared" si="0"/>
        <v>0.125</v>
      </c>
      <c r="J25" s="20" t="s">
        <v>124</v>
      </c>
      <c r="K25" s="20" t="s">
        <v>420</v>
      </c>
      <c r="L25" s="20">
        <f>IF(K25="", "", _xlfn.XLOOKUP(K25, wp_nds_rooms!C:C, wp_nds_rooms!A:A))</f>
        <v>1</v>
      </c>
      <c r="M25" s="20">
        <v>1</v>
      </c>
    </row>
    <row r="26" spans="1:13" ht="17" customHeight="1" x14ac:dyDescent="0.2">
      <c r="A26" s="17">
        <f>MAX($A$1:A25)+1</f>
        <v>25</v>
      </c>
      <c r="B26" s="16" t="s">
        <v>72</v>
      </c>
      <c r="C26" s="17">
        <f>IF(B26="", "", _xlfn.XLOOKUP(B26, 'Courses'!F:F, 'Courses'!A:A))</f>
        <v>15</v>
      </c>
      <c r="D26" s="17" t="s">
        <v>403</v>
      </c>
      <c r="E26" s="17">
        <f>IF(D26="", "", _xlfn.XLOOKUP(D26, Staff!C:C, Staff!A:A))</f>
        <v>12</v>
      </c>
      <c r="F26" s="17" t="s">
        <v>123</v>
      </c>
      <c r="G26" s="18">
        <v>0.58333333333333337</v>
      </c>
      <c r="H26" s="18">
        <v>0.70833333333333337</v>
      </c>
      <c r="I26" s="18">
        <f t="shared" si="0"/>
        <v>0.125</v>
      </c>
      <c r="J26" s="17" t="s">
        <v>124</v>
      </c>
      <c r="K26" s="17" t="s">
        <v>420</v>
      </c>
      <c r="L26" s="17">
        <f>IF(K26="", "", _xlfn.XLOOKUP(K26, wp_nds_rooms!C:C, wp_nds_rooms!A:A))</f>
        <v>1</v>
      </c>
      <c r="M26" s="17">
        <v>1</v>
      </c>
    </row>
    <row r="27" spans="1:13" x14ac:dyDescent="0.2">
      <c r="A27" s="37">
        <f>MAX($A$1:A26)+1</f>
        <v>26</v>
      </c>
      <c r="B27" s="16" t="s">
        <v>470</v>
      </c>
      <c r="C27" s="37">
        <f>IF(B27="", "", _xlfn.XLOOKUP(B27, 'Courses'!F:F, 'Courses'!A:A))</f>
        <v>17</v>
      </c>
      <c r="D27" s="37" t="s">
        <v>392</v>
      </c>
      <c r="E27" s="37">
        <f>IF(D27="", "", _xlfn.XLOOKUP(D27, Staff!C:C, Staff!A:A))</f>
        <v>9</v>
      </c>
      <c r="F27" s="20" t="s">
        <v>121</v>
      </c>
      <c r="G27" s="38">
        <v>0.45833333333333331</v>
      </c>
      <c r="H27" s="38">
        <v>0.54166666666666663</v>
      </c>
      <c r="I27" s="38">
        <f>MOD(H27-G27,1)</f>
        <v>8.3333333333333315E-2</v>
      </c>
      <c r="J27" s="37" t="s">
        <v>122</v>
      </c>
      <c r="K27" s="37" t="s">
        <v>437</v>
      </c>
      <c r="L27" s="37">
        <f>IF(K27="", "", _xlfn.XLOOKUP(K27, wp_nds_rooms!C:C, wp_nds_rooms!A:A))</f>
        <v>5</v>
      </c>
      <c r="M27" s="37"/>
    </row>
  </sheetData>
  <phoneticPr fontId="3" type="noConversion"/>
  <dataValidations count="4">
    <dataValidation type="list" allowBlank="1" showInputMessage="1" showErrorMessage="1" sqref="B2:B27" xr:uid="{AD4123A5-3E7E-B748-9B6A-CAC6A972169E}">
      <formula1>courses_list</formula1>
    </dataValidation>
    <dataValidation type="list" allowBlank="1" showInputMessage="1" showErrorMessage="1" sqref="D2:D27" xr:uid="{A8A77AB0-386A-7046-820E-4C211FACBA29}">
      <formula1>staff_list</formula1>
    </dataValidation>
    <dataValidation type="list" allowBlank="1" showInputMessage="1" showErrorMessage="1" sqref="K2:K27" xr:uid="{06A331AB-A823-B844-BFAB-52242D29876E}">
      <formula1>rooms_list</formula1>
    </dataValidation>
    <dataValidation type="list" allowBlank="1" showInputMessage="1" showErrorMessage="1" sqref="J2:J27" xr:uid="{AB3F3C3C-E244-004A-83FD-6A005B070675}">
      <formula1>session_type_list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EC4F0E9-63BA-B74B-BC71-BECED8969800}">
          <x14:formula1>
            <xm:f>Staff!$A$2:$A$101</xm:f>
          </x14:formula1>
          <xm:sqref>E2:E94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A890-C59B-A449-A0E5-B43640A865A1}">
  <dimension ref="A1:E6"/>
  <sheetViews>
    <sheetView workbookViewId="0">
      <selection activeCell="B3" sqref="B3"/>
    </sheetView>
  </sheetViews>
  <sheetFormatPr baseColWidth="10" defaultRowHeight="16" x14ac:dyDescent="0.2"/>
  <cols>
    <col min="2" max="2" width="22.6640625" customWidth="1"/>
  </cols>
  <sheetData>
    <row r="1" spans="1:5" x14ac:dyDescent="0.2">
      <c r="A1" s="14" t="s">
        <v>0</v>
      </c>
      <c r="B1" s="14" t="s">
        <v>1</v>
      </c>
      <c r="C1" s="14"/>
      <c r="D1" s="14"/>
      <c r="E1" s="14"/>
    </row>
    <row r="2" spans="1:5" x14ac:dyDescent="0.2">
      <c r="A2">
        <f>MAX($A$1:A1)+1</f>
        <v>1</v>
      </c>
      <c r="B2" t="s">
        <v>122</v>
      </c>
    </row>
    <row r="3" spans="1:5" x14ac:dyDescent="0.2">
      <c r="A3">
        <f>MAX($A$1:A2)+1</f>
        <v>2</v>
      </c>
      <c r="B3" t="s">
        <v>124</v>
      </c>
    </row>
    <row r="4" spans="1:5" ht="17" x14ac:dyDescent="0.2">
      <c r="A4">
        <f>MAX($A$1:A3)+1</f>
        <v>3</v>
      </c>
      <c r="B4" s="15" t="s">
        <v>126</v>
      </c>
    </row>
    <row r="5" spans="1:5" x14ac:dyDescent="0.2">
      <c r="A5">
        <f>MAX($A$1:A4)+1</f>
        <v>4</v>
      </c>
      <c r="B5" t="s">
        <v>461</v>
      </c>
    </row>
    <row r="6" spans="1:5" x14ac:dyDescent="0.2">
      <c r="A6">
        <f>MAX($A$1:A5)+1</f>
        <v>5</v>
      </c>
      <c r="B6" t="s">
        <v>462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8033-7A59-4C46-A45D-49C7C0A78671}">
  <sheetPr codeName="Sheet11">
    <tabColor theme="3" tint="0.499984740745262"/>
  </sheetPr>
  <dimension ref="A1:G14"/>
  <sheetViews>
    <sheetView workbookViewId="0">
      <selection activeCell="I14" sqref="I14"/>
    </sheetView>
  </sheetViews>
  <sheetFormatPr baseColWidth="10" defaultColWidth="11.1640625" defaultRowHeight="16" x14ac:dyDescent="0.2"/>
  <cols>
    <col min="1" max="1" width="5.1640625" bestFit="1" customWidth="1"/>
    <col min="2" max="2" width="9.6640625" bestFit="1" customWidth="1"/>
    <col min="3" max="3" width="12.6640625" bestFit="1" customWidth="1"/>
    <col min="4" max="4" width="12.33203125" bestFit="1" customWidth="1"/>
    <col min="5" max="5" width="28.33203125" bestFit="1" customWidth="1"/>
    <col min="6" max="6" width="10.1640625" bestFit="1" customWidth="1"/>
    <col min="7" max="7" width="18.1640625" bestFit="1" customWidth="1"/>
  </cols>
  <sheetData>
    <row r="1" spans="1:7" x14ac:dyDescent="0.2">
      <c r="A1" s="6" t="s">
        <v>0</v>
      </c>
      <c r="B1" s="6" t="s">
        <v>366</v>
      </c>
      <c r="C1" s="6" t="s">
        <v>129</v>
      </c>
      <c r="D1" s="6" t="s">
        <v>130</v>
      </c>
      <c r="E1" s="6" t="s">
        <v>131</v>
      </c>
      <c r="F1" s="6" t="s">
        <v>132</v>
      </c>
      <c r="G1" s="6" t="s">
        <v>367</v>
      </c>
    </row>
    <row r="2" spans="1:7" x14ac:dyDescent="0.2">
      <c r="A2">
        <f>MAX($A$1:A1)+1</f>
        <v>1</v>
      </c>
      <c r="B2">
        <v>10</v>
      </c>
      <c r="C2" t="s">
        <v>368</v>
      </c>
      <c r="D2" t="s">
        <v>369</v>
      </c>
      <c r="E2" t="s">
        <v>370</v>
      </c>
      <c r="F2">
        <v>111111111</v>
      </c>
      <c r="G2" t="s">
        <v>371</v>
      </c>
    </row>
    <row r="3" spans="1:7" x14ac:dyDescent="0.2">
      <c r="A3">
        <f>MAX($A$1:A2)+1</f>
        <v>2</v>
      </c>
      <c r="B3">
        <v>12</v>
      </c>
      <c r="C3" t="s">
        <v>372</v>
      </c>
      <c r="D3" t="s">
        <v>373</v>
      </c>
      <c r="E3" t="s">
        <v>374</v>
      </c>
      <c r="F3">
        <v>111111112</v>
      </c>
      <c r="G3" t="s">
        <v>371</v>
      </c>
    </row>
    <row r="4" spans="1:7" x14ac:dyDescent="0.2">
      <c r="A4">
        <f>MAX($A$1:A3)+1</f>
        <v>3</v>
      </c>
      <c r="B4">
        <v>13</v>
      </c>
      <c r="C4" t="s">
        <v>375</v>
      </c>
      <c r="D4" t="s">
        <v>376</v>
      </c>
      <c r="E4" t="s">
        <v>377</v>
      </c>
      <c r="F4">
        <v>111111113</v>
      </c>
      <c r="G4" t="s">
        <v>371</v>
      </c>
    </row>
    <row r="5" spans="1:7" x14ac:dyDescent="0.2">
      <c r="A5">
        <f>MAX($A$1:A4)+1</f>
        <v>4</v>
      </c>
      <c r="B5">
        <v>14</v>
      </c>
      <c r="C5" t="s">
        <v>378</v>
      </c>
      <c r="D5" t="s">
        <v>379</v>
      </c>
      <c r="E5" t="s">
        <v>380</v>
      </c>
      <c r="F5">
        <v>111111114</v>
      </c>
      <c r="G5" t="s">
        <v>371</v>
      </c>
    </row>
    <row r="6" spans="1:7" x14ac:dyDescent="0.2">
      <c r="A6">
        <f>MAX($A$1:A5)+1</f>
        <v>5</v>
      </c>
      <c r="B6">
        <v>15</v>
      </c>
      <c r="C6" t="s">
        <v>381</v>
      </c>
      <c r="D6" t="s">
        <v>382</v>
      </c>
      <c r="E6" t="s">
        <v>383</v>
      </c>
      <c r="F6">
        <v>111111115</v>
      </c>
      <c r="G6" t="s">
        <v>371</v>
      </c>
    </row>
    <row r="7" spans="1:7" x14ac:dyDescent="0.2">
      <c r="A7">
        <f>MAX($A$1:A6)+1</f>
        <v>6</v>
      </c>
      <c r="B7">
        <v>16</v>
      </c>
      <c r="C7" t="s">
        <v>384</v>
      </c>
      <c r="D7" t="s">
        <v>385</v>
      </c>
      <c r="E7" t="s">
        <v>386</v>
      </c>
      <c r="F7">
        <v>111111116</v>
      </c>
      <c r="G7" t="s">
        <v>371</v>
      </c>
    </row>
    <row r="8" spans="1:7" x14ac:dyDescent="0.2">
      <c r="A8">
        <f>MAX($A$1:A7)+1</f>
        <v>7</v>
      </c>
      <c r="B8">
        <v>17</v>
      </c>
      <c r="C8" t="s">
        <v>387</v>
      </c>
      <c r="D8" t="s">
        <v>388</v>
      </c>
      <c r="E8" t="s">
        <v>389</v>
      </c>
      <c r="F8">
        <v>111111117</v>
      </c>
      <c r="G8" t="s">
        <v>371</v>
      </c>
    </row>
    <row r="9" spans="1:7" x14ac:dyDescent="0.2">
      <c r="A9">
        <f>MAX($A$1:A8)+1</f>
        <v>8</v>
      </c>
      <c r="B9">
        <v>18</v>
      </c>
      <c r="C9" t="s">
        <v>390</v>
      </c>
      <c r="D9" t="s">
        <v>191</v>
      </c>
      <c r="E9" t="s">
        <v>391</v>
      </c>
      <c r="F9">
        <v>111111118</v>
      </c>
      <c r="G9" t="s">
        <v>371</v>
      </c>
    </row>
    <row r="10" spans="1:7" x14ac:dyDescent="0.2">
      <c r="A10">
        <f>MAX($A$1:A9)+1</f>
        <v>9</v>
      </c>
      <c r="B10">
        <v>19</v>
      </c>
      <c r="C10" t="s">
        <v>392</v>
      </c>
      <c r="D10" t="s">
        <v>393</v>
      </c>
      <c r="E10" t="s">
        <v>394</v>
      </c>
      <c r="F10">
        <v>111111119</v>
      </c>
      <c r="G10" t="s">
        <v>371</v>
      </c>
    </row>
    <row r="11" spans="1:7" x14ac:dyDescent="0.2">
      <c r="A11">
        <f>MAX($A$1:A10)+1</f>
        <v>10</v>
      </c>
      <c r="C11" t="s">
        <v>395</v>
      </c>
      <c r="D11" t="s">
        <v>396</v>
      </c>
      <c r="E11" t="s">
        <v>397</v>
      </c>
      <c r="F11">
        <v>111111120</v>
      </c>
      <c r="G11" t="s">
        <v>398</v>
      </c>
    </row>
    <row r="12" spans="1:7" x14ac:dyDescent="0.2">
      <c r="A12">
        <f>MAX($A$1:A11)+1</f>
        <v>11</v>
      </c>
      <c r="C12" t="s">
        <v>399</v>
      </c>
      <c r="D12" t="s">
        <v>400</v>
      </c>
      <c r="E12" t="s">
        <v>401</v>
      </c>
      <c r="F12">
        <v>111111121</v>
      </c>
      <c r="G12" t="s">
        <v>402</v>
      </c>
    </row>
    <row r="13" spans="1:7" x14ac:dyDescent="0.2">
      <c r="A13">
        <f>MAX($A$1:A12)+1</f>
        <v>12</v>
      </c>
      <c r="C13" t="s">
        <v>403</v>
      </c>
      <c r="D13" t="s">
        <v>404</v>
      </c>
      <c r="E13" t="s">
        <v>405</v>
      </c>
      <c r="F13">
        <v>111111122</v>
      </c>
      <c r="G13" t="s">
        <v>406</v>
      </c>
    </row>
    <row r="14" spans="1:7" x14ac:dyDescent="0.2">
      <c r="A14">
        <f>MAX($A$1:A13)+1</f>
        <v>13</v>
      </c>
      <c r="C14" t="s">
        <v>459</v>
      </c>
      <c r="D14" t="s">
        <v>460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A5C4-A5BF-3948-B42A-BAA51DADC065}">
  <sheetPr codeName="Sheet5">
    <tabColor theme="5" tint="0.59999389629810485"/>
  </sheetPr>
  <dimension ref="A1:K9"/>
  <sheetViews>
    <sheetView topLeftCell="A2" workbookViewId="0">
      <selection activeCell="A2" sqref="A2"/>
    </sheetView>
  </sheetViews>
  <sheetFormatPr baseColWidth="10" defaultColWidth="11.1640625" defaultRowHeight="16" x14ac:dyDescent="0.2"/>
  <cols>
    <col min="1" max="1" width="5.1640625" bestFit="1" customWidth="1"/>
    <col min="2" max="2" width="12.1640625" bestFit="1" customWidth="1"/>
    <col min="3" max="3" width="27.83203125" bestFit="1" customWidth="1"/>
    <col min="4" max="4" width="9.5" bestFit="1" customWidth="1"/>
    <col min="5" max="5" width="10.6640625" bestFit="1" customWidth="1"/>
    <col min="6" max="6" width="11.6640625" bestFit="1" customWidth="1"/>
    <col min="7" max="7" width="49.33203125" bestFit="1" customWidth="1"/>
    <col min="8" max="8" width="31.5" bestFit="1" customWidth="1"/>
    <col min="9" max="9" width="11" bestFit="1" customWidth="1"/>
    <col min="10" max="11" width="15.33203125" bestFit="1" customWidth="1"/>
  </cols>
  <sheetData>
    <row r="1" spans="1:11" x14ac:dyDescent="0.2">
      <c r="A1" s="3" t="s">
        <v>0</v>
      </c>
      <c r="B1" s="3" t="s">
        <v>27</v>
      </c>
      <c r="C1" s="3" t="s">
        <v>1</v>
      </c>
      <c r="D1" s="3" t="s">
        <v>413</v>
      </c>
      <c r="E1" s="3" t="s">
        <v>414</v>
      </c>
      <c r="F1" s="3" t="s">
        <v>119</v>
      </c>
      <c r="G1" s="3" t="s">
        <v>415</v>
      </c>
      <c r="H1" s="3" t="s">
        <v>416</v>
      </c>
      <c r="I1" s="3" t="s">
        <v>120</v>
      </c>
      <c r="J1" s="3" t="s">
        <v>417</v>
      </c>
      <c r="K1" s="3" t="s">
        <v>418</v>
      </c>
    </row>
    <row r="2" spans="1:11" x14ac:dyDescent="0.2">
      <c r="A2" s="1">
        <f>IF(B2="", "", MAX($A$1:A1)+1)</f>
        <v>1</v>
      </c>
      <c r="B2" s="1" t="s">
        <v>419</v>
      </c>
      <c r="C2" s="1" t="s">
        <v>420</v>
      </c>
      <c r="D2" s="1" t="s">
        <v>421</v>
      </c>
      <c r="E2" s="1">
        <v>200</v>
      </c>
      <c r="F2" s="1" t="s">
        <v>422</v>
      </c>
      <c r="G2" s="1" t="s">
        <v>423</v>
      </c>
      <c r="H2" s="1" t="s">
        <v>424</v>
      </c>
      <c r="I2" s="1">
        <v>1</v>
      </c>
      <c r="J2" s="7">
        <v>46043.812685185185</v>
      </c>
      <c r="K2" s="7">
        <v>46043.812685185185</v>
      </c>
    </row>
    <row r="3" spans="1:11" x14ac:dyDescent="0.2">
      <c r="A3" s="2">
        <f>IF(B3="", "", MAX($A$1:A2)+1)</f>
        <v>2</v>
      </c>
      <c r="B3" s="2" t="s">
        <v>425</v>
      </c>
      <c r="C3" s="2" t="s">
        <v>426</v>
      </c>
      <c r="D3" s="2" t="s">
        <v>427</v>
      </c>
      <c r="E3" s="2">
        <v>30</v>
      </c>
      <c r="F3" s="2" t="s">
        <v>428</v>
      </c>
      <c r="G3" s="2" t="s">
        <v>429</v>
      </c>
      <c r="H3" s="2" t="s">
        <v>430</v>
      </c>
      <c r="I3" s="2">
        <v>1</v>
      </c>
      <c r="J3" s="8">
        <v>46043.812685185185</v>
      </c>
      <c r="K3" s="8">
        <v>46043.812685185185</v>
      </c>
    </row>
    <row r="4" spans="1:11" x14ac:dyDescent="0.2">
      <c r="A4" s="1">
        <f>IF(B4="", "", MAX($A$1:A3)+1)</f>
        <v>3</v>
      </c>
      <c r="B4" s="1" t="s">
        <v>431</v>
      </c>
      <c r="C4" s="1" t="s">
        <v>432</v>
      </c>
      <c r="D4" s="1" t="s">
        <v>427</v>
      </c>
      <c r="E4" s="1">
        <v>30</v>
      </c>
      <c r="F4" s="1" t="s">
        <v>428</v>
      </c>
      <c r="G4" s="1" t="s">
        <v>429</v>
      </c>
      <c r="H4" s="1" t="s">
        <v>430</v>
      </c>
      <c r="I4" s="1">
        <v>1</v>
      </c>
      <c r="J4" s="7">
        <v>46043.812685185185</v>
      </c>
      <c r="K4" s="7">
        <v>46043.812685185185</v>
      </c>
    </row>
    <row r="5" spans="1:11" x14ac:dyDescent="0.2">
      <c r="A5" s="2">
        <f>IF(B5="", "", MAX($A$1:A4)+1)</f>
        <v>4</v>
      </c>
      <c r="B5" s="2" t="s">
        <v>433</v>
      </c>
      <c r="C5" s="2" t="s">
        <v>434</v>
      </c>
      <c r="D5" s="2" t="s">
        <v>427</v>
      </c>
      <c r="E5" s="2">
        <v>25</v>
      </c>
      <c r="F5" s="2" t="s">
        <v>435</v>
      </c>
      <c r="G5" s="2" t="s">
        <v>429</v>
      </c>
      <c r="H5" s="2" t="s">
        <v>430</v>
      </c>
      <c r="I5" s="2">
        <v>1</v>
      </c>
      <c r="J5" s="8">
        <v>46043.812685185185</v>
      </c>
      <c r="K5" s="8">
        <v>46043.812685185185</v>
      </c>
    </row>
    <row r="6" spans="1:11" x14ac:dyDescent="0.2">
      <c r="A6" s="1">
        <f>IF(B6="", "", MAX($A$1:A5)+1)</f>
        <v>5</v>
      </c>
      <c r="B6" s="1" t="s">
        <v>436</v>
      </c>
      <c r="C6" s="1" t="s">
        <v>437</v>
      </c>
      <c r="D6" s="1" t="s">
        <v>438</v>
      </c>
      <c r="E6" s="1">
        <v>20</v>
      </c>
      <c r="F6" s="1" t="s">
        <v>422</v>
      </c>
      <c r="G6" s="1" t="s">
        <v>439</v>
      </c>
      <c r="H6" s="1" t="s">
        <v>440</v>
      </c>
      <c r="I6" s="1">
        <v>1</v>
      </c>
      <c r="J6" s="7">
        <v>46043.812685185185</v>
      </c>
      <c r="K6" s="7">
        <v>46043.812685185185</v>
      </c>
    </row>
    <row r="7" spans="1:11" x14ac:dyDescent="0.2">
      <c r="A7" s="2">
        <f>IF(B7="", "", MAX($A$1:A6)+1)</f>
        <v>6</v>
      </c>
      <c r="B7" s="2" t="s">
        <v>441</v>
      </c>
      <c r="C7" s="2" t="s">
        <v>442</v>
      </c>
      <c r="D7" s="2" t="s">
        <v>438</v>
      </c>
      <c r="E7" s="2">
        <v>15</v>
      </c>
      <c r="F7" s="2" t="s">
        <v>422</v>
      </c>
      <c r="G7" s="2" t="s">
        <v>443</v>
      </c>
      <c r="H7" s="2" t="s">
        <v>440</v>
      </c>
      <c r="I7" s="2">
        <v>1</v>
      </c>
      <c r="J7" s="8">
        <v>46043.812685185185</v>
      </c>
      <c r="K7" s="8">
        <v>46043.812685185185</v>
      </c>
    </row>
    <row r="8" spans="1:11" x14ac:dyDescent="0.2">
      <c r="A8" s="1">
        <f>IF(B8="", "", MAX($A$1:A7)+1)</f>
        <v>7</v>
      </c>
      <c r="B8" s="1" t="s">
        <v>444</v>
      </c>
      <c r="C8" s="1" t="s">
        <v>445</v>
      </c>
      <c r="D8" s="1" t="s">
        <v>438</v>
      </c>
      <c r="E8" s="1">
        <v>18</v>
      </c>
      <c r="F8" s="1" t="s">
        <v>422</v>
      </c>
      <c r="G8" s="1" t="s">
        <v>446</v>
      </c>
      <c r="H8" s="1" t="s">
        <v>440</v>
      </c>
      <c r="I8" s="1">
        <v>1</v>
      </c>
      <c r="J8" s="7">
        <v>46043.812685185185</v>
      </c>
      <c r="K8" s="7">
        <v>46043.812685185185</v>
      </c>
    </row>
    <row r="9" spans="1:11" x14ac:dyDescent="0.2">
      <c r="A9" s="2">
        <f>IF(B9="", "", MAX($A$1:A8)+1)</f>
        <v>8</v>
      </c>
      <c r="B9" s="2" t="s">
        <v>447</v>
      </c>
      <c r="C9" s="2" t="s">
        <v>448</v>
      </c>
      <c r="D9" s="2" t="s">
        <v>438</v>
      </c>
      <c r="E9" s="2">
        <v>12</v>
      </c>
      <c r="F9" s="2" t="s">
        <v>422</v>
      </c>
      <c r="G9" s="2" t="s">
        <v>449</v>
      </c>
      <c r="H9" s="2" t="s">
        <v>440</v>
      </c>
      <c r="I9" s="2">
        <v>1</v>
      </c>
      <c r="J9" s="8">
        <v>46043.812685185185</v>
      </c>
      <c r="K9" s="8">
        <v>46043.812685185185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0DF3-74CE-E646-899F-6F423A35D8CB}">
  <sheetPr codeName="Sheet6">
    <tabColor theme="4" tint="0.79998168889431442"/>
  </sheetPr>
  <dimension ref="A1:G4"/>
  <sheetViews>
    <sheetView workbookViewId="0">
      <selection activeCell="A3" sqref="A3"/>
    </sheetView>
  </sheetViews>
  <sheetFormatPr baseColWidth="10" defaultColWidth="11.1640625" defaultRowHeight="16" x14ac:dyDescent="0.2"/>
  <cols>
    <col min="1" max="1" width="5.1640625" bestFit="1" customWidth="1"/>
    <col min="2" max="2" width="9.5" bestFit="1" customWidth="1"/>
    <col min="3" max="3" width="13.5" bestFit="1" customWidth="1"/>
    <col min="4" max="4" width="13" bestFit="1" customWidth="1"/>
    <col min="5" max="5" width="13.1640625" bestFit="1" customWidth="1"/>
    <col min="6" max="6" width="15.5" bestFit="1" customWidth="1"/>
    <col min="7" max="7" width="9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">
        <f>MAX($A$1:A1)+1</f>
        <v>1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9</v>
      </c>
    </row>
    <row r="3" spans="1:7" x14ac:dyDescent="0.2">
      <c r="A3" s="1">
        <f>MAX($A$1:A2)+1</f>
        <v>2</v>
      </c>
      <c r="B3" s="1" t="s">
        <v>457</v>
      </c>
      <c r="C3" s="1"/>
      <c r="D3" s="1"/>
      <c r="E3" s="1"/>
      <c r="F3" s="1"/>
      <c r="G3" s="1"/>
    </row>
    <row r="4" spans="1:7" x14ac:dyDescent="0.2">
      <c r="A4" s="1">
        <f>MAX($A$1:A3)+1</f>
        <v>3</v>
      </c>
      <c r="B4" s="1" t="s">
        <v>458</v>
      </c>
      <c r="C4" s="1"/>
      <c r="D4" s="1"/>
      <c r="E4" s="1"/>
      <c r="F4" s="1"/>
      <c r="G4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181A-D0F4-B743-863E-3A553E7C5F46}">
  <sheetPr codeName="Sheet8">
    <tabColor theme="4" tint="0.39997558519241921"/>
  </sheetPr>
  <dimension ref="A1:I9"/>
  <sheetViews>
    <sheetView workbookViewId="0">
      <selection activeCell="L10" sqref="L10"/>
    </sheetView>
  </sheetViews>
  <sheetFormatPr baseColWidth="10" defaultColWidth="11.1640625" defaultRowHeight="16" x14ac:dyDescent="0.2"/>
  <cols>
    <col min="1" max="1" width="5.1640625" bestFit="1" customWidth="1"/>
    <col min="2" max="2" width="42.6640625" bestFit="1" customWidth="1"/>
    <col min="3" max="3" width="11.6640625" bestFit="1" customWidth="1"/>
    <col min="4" max="4" width="21.83203125" bestFit="1" customWidth="1"/>
    <col min="5" max="5" width="22" bestFit="1" customWidth="1"/>
    <col min="6" max="6" width="19.33203125" bestFit="1" customWidth="1"/>
    <col min="7" max="7" width="13" bestFit="1" customWidth="1"/>
    <col min="8" max="8" width="9" bestFit="1" customWidth="1"/>
  </cols>
  <sheetData>
    <row r="1" spans="1:9" x14ac:dyDescent="0.2">
      <c r="A1" s="6" t="s">
        <v>0</v>
      </c>
      <c r="B1" s="6" t="s">
        <v>455</v>
      </c>
      <c r="C1" s="6" t="s">
        <v>112</v>
      </c>
      <c r="D1" s="6" t="s">
        <v>46</v>
      </c>
      <c r="E1" s="6" t="s">
        <v>407</v>
      </c>
      <c r="F1" s="6" t="s">
        <v>408</v>
      </c>
      <c r="G1" s="6" t="s">
        <v>409</v>
      </c>
      <c r="H1" s="6" t="s">
        <v>6</v>
      </c>
      <c r="I1" s="36" t="s">
        <v>471</v>
      </c>
    </row>
    <row r="2" spans="1:9" x14ac:dyDescent="0.2">
      <c r="A2">
        <f>MAX($A$1:A1)+1</f>
        <v>1</v>
      </c>
      <c r="B2" t="s">
        <v>82</v>
      </c>
      <c r="C2">
        <f>IF($B2="", "", _xlfn.XLOOKUP($B2, 'Courses'!F:F, 'Courses'!A:A))</f>
        <v>1</v>
      </c>
      <c r="D2">
        <v>1</v>
      </c>
      <c r="E2">
        <v>1</v>
      </c>
      <c r="F2" t="s">
        <v>8</v>
      </c>
      <c r="G2" t="s">
        <v>8</v>
      </c>
      <c r="H2" t="s">
        <v>8</v>
      </c>
      <c r="I2" s="35" t="s">
        <v>9</v>
      </c>
    </row>
    <row r="3" spans="1:9" x14ac:dyDescent="0.2">
      <c r="A3">
        <f>MAX($A$1:A2)+1</f>
        <v>2</v>
      </c>
      <c r="B3" t="s">
        <v>84</v>
      </c>
      <c r="C3">
        <f>IF($B3="", "", _xlfn.XLOOKUP($B3, 'Courses'!F:F, 'Courses'!A:A))</f>
        <v>2</v>
      </c>
      <c r="D3">
        <v>2</v>
      </c>
      <c r="E3">
        <v>1</v>
      </c>
      <c r="F3" t="s">
        <v>8</v>
      </c>
      <c r="G3" t="s">
        <v>8</v>
      </c>
      <c r="H3" t="s">
        <v>8</v>
      </c>
      <c r="I3" s="35" t="s">
        <v>9</v>
      </c>
    </row>
    <row r="4" spans="1:9" x14ac:dyDescent="0.2">
      <c r="A4" s="35">
        <f>MAX($A$1:A3)+1</f>
        <v>3</v>
      </c>
      <c r="B4" t="s">
        <v>86</v>
      </c>
      <c r="C4">
        <f>IF($B4="", "", _xlfn.XLOOKUP($B4, 'Courses'!F:F, 'Courses'!A:A))</f>
        <v>3</v>
      </c>
      <c r="D4">
        <v>3</v>
      </c>
      <c r="E4">
        <v>1</v>
      </c>
      <c r="F4" t="s">
        <v>8</v>
      </c>
      <c r="G4" t="s">
        <v>8</v>
      </c>
      <c r="H4" t="s">
        <v>8</v>
      </c>
      <c r="I4" s="35" t="s">
        <v>9</v>
      </c>
    </row>
    <row r="5" spans="1:9" x14ac:dyDescent="0.2">
      <c r="A5" s="35">
        <f>MAX($A$1:A4)+1</f>
        <v>4</v>
      </c>
      <c r="B5" t="s">
        <v>88</v>
      </c>
      <c r="C5">
        <f>IF($B5="", "", _xlfn.XLOOKUP($B5, 'Courses'!F:F, 'Courses'!A:A))</f>
        <v>4</v>
      </c>
      <c r="D5">
        <v>4</v>
      </c>
      <c r="E5">
        <v>1</v>
      </c>
      <c r="F5" t="s">
        <v>8</v>
      </c>
      <c r="G5" t="s">
        <v>8</v>
      </c>
      <c r="H5" t="s">
        <v>8</v>
      </c>
      <c r="I5" s="35" t="s">
        <v>9</v>
      </c>
    </row>
    <row r="6" spans="1:9" x14ac:dyDescent="0.2">
      <c r="A6" s="35">
        <f>MAX($A$1:A5)+1</f>
        <v>5</v>
      </c>
      <c r="B6" t="s">
        <v>90</v>
      </c>
      <c r="C6">
        <f>IF($B6="", "", _xlfn.XLOOKUP($B6, 'Courses'!F:F, 'Courses'!A:A))</f>
        <v>5</v>
      </c>
      <c r="D6">
        <v>5</v>
      </c>
      <c r="E6">
        <v>1</v>
      </c>
      <c r="F6" t="s">
        <v>8</v>
      </c>
      <c r="G6" t="s">
        <v>8</v>
      </c>
      <c r="H6" t="s">
        <v>8</v>
      </c>
      <c r="I6" s="35" t="s">
        <v>9</v>
      </c>
    </row>
    <row r="7" spans="1:9" x14ac:dyDescent="0.2">
      <c r="A7" s="35">
        <f>MAX($A$1:A6)+1</f>
        <v>6</v>
      </c>
      <c r="B7" t="s">
        <v>92</v>
      </c>
      <c r="C7">
        <f>IF($B7="", "", _xlfn.XLOOKUP($B7, 'Courses'!F:F, 'Courses'!A:A))</f>
        <v>6</v>
      </c>
      <c r="D7">
        <v>6</v>
      </c>
      <c r="E7">
        <v>1</v>
      </c>
      <c r="F7" t="s">
        <v>8</v>
      </c>
      <c r="G7" t="s">
        <v>8</v>
      </c>
      <c r="H7" t="s">
        <v>8</v>
      </c>
      <c r="I7" s="35" t="s">
        <v>9</v>
      </c>
    </row>
    <row r="8" spans="1:9" x14ac:dyDescent="0.2">
      <c r="A8" s="35">
        <f>MAX($A$1:A7)+1</f>
        <v>7</v>
      </c>
      <c r="B8" t="s">
        <v>94</v>
      </c>
      <c r="C8">
        <f>IF($B8="", "", _xlfn.XLOOKUP($B8, 'Courses'!F:F, 'Courses'!A:A))</f>
        <v>7</v>
      </c>
      <c r="D8">
        <v>7</v>
      </c>
      <c r="E8">
        <v>1</v>
      </c>
      <c r="F8" t="s">
        <v>8</v>
      </c>
      <c r="G8" t="s">
        <v>8</v>
      </c>
      <c r="H8" t="s">
        <v>8</v>
      </c>
      <c r="I8" s="35" t="s">
        <v>9</v>
      </c>
    </row>
    <row r="9" spans="1:9" x14ac:dyDescent="0.2">
      <c r="A9" s="35">
        <f>MAX($A$1:A8)+1</f>
        <v>8</v>
      </c>
      <c r="B9" t="s">
        <v>96</v>
      </c>
      <c r="C9">
        <f>IF($B9="", "", _xlfn.XLOOKUP($B9, 'Courses'!F:F, 'Courses'!A:A))</f>
        <v>8</v>
      </c>
      <c r="D9">
        <v>15</v>
      </c>
      <c r="E9">
        <v>1</v>
      </c>
      <c r="F9" t="s">
        <v>8</v>
      </c>
      <c r="G9" t="s">
        <v>8</v>
      </c>
      <c r="H9" t="s">
        <v>8</v>
      </c>
      <c r="I9" s="35" t="s">
        <v>9</v>
      </c>
    </row>
  </sheetData>
  <dataValidations count="1">
    <dataValidation type="list" allowBlank="1" showInputMessage="1" showErrorMessage="1" sqref="B2:B9" xr:uid="{747D88A8-1A34-CF41-B6B8-0DA242153F7D}">
      <formula1>courses_list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CE82-2616-B742-8B6B-3C802A2539B9}">
  <sheetPr codeName="Sheet16"/>
  <dimension ref="A1:E8"/>
  <sheetViews>
    <sheetView workbookViewId="0">
      <selection activeCell="E1" sqref="A1:E1"/>
    </sheetView>
  </sheetViews>
  <sheetFormatPr baseColWidth="10" defaultColWidth="11.1640625" defaultRowHeight="16" x14ac:dyDescent="0.2"/>
  <cols>
    <col min="1" max="1" width="5.1640625" bestFit="1" customWidth="1"/>
    <col min="2" max="2" width="17.83203125" bestFit="1" customWidth="1"/>
    <col min="3" max="3" width="13" bestFit="1" customWidth="1"/>
    <col min="4" max="4" width="22.33203125" bestFit="1" customWidth="1"/>
    <col min="5" max="5" width="13" bestFit="1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10</v>
      </c>
      <c r="E1" t="s">
        <v>11</v>
      </c>
    </row>
    <row r="2" spans="1:5" x14ac:dyDescent="0.2">
      <c r="A2">
        <v>1</v>
      </c>
      <c r="B2" t="s">
        <v>12</v>
      </c>
      <c r="C2" t="s">
        <v>8</v>
      </c>
      <c r="D2">
        <v>1</v>
      </c>
      <c r="E2" t="s">
        <v>13</v>
      </c>
    </row>
    <row r="3" spans="1:5" x14ac:dyDescent="0.2">
      <c r="A3">
        <v>2</v>
      </c>
      <c r="B3" t="s">
        <v>14</v>
      </c>
      <c r="C3" t="s">
        <v>8</v>
      </c>
      <c r="D3">
        <v>3</v>
      </c>
      <c r="E3" t="s">
        <v>13</v>
      </c>
    </row>
    <row r="4" spans="1:5" x14ac:dyDescent="0.2">
      <c r="A4">
        <v>3</v>
      </c>
      <c r="B4" t="s">
        <v>15</v>
      </c>
      <c r="C4" t="s">
        <v>8</v>
      </c>
      <c r="D4">
        <v>1</v>
      </c>
      <c r="E4" t="s">
        <v>13</v>
      </c>
    </row>
    <row r="5" spans="1:5" x14ac:dyDescent="0.2">
      <c r="A5">
        <v>4</v>
      </c>
      <c r="B5" t="s">
        <v>16</v>
      </c>
      <c r="C5" t="s">
        <v>8</v>
      </c>
      <c r="D5">
        <v>2</v>
      </c>
      <c r="E5" t="s">
        <v>17</v>
      </c>
    </row>
    <row r="6" spans="1:5" x14ac:dyDescent="0.2">
      <c r="A6">
        <v>5</v>
      </c>
      <c r="B6" t="s">
        <v>18</v>
      </c>
      <c r="C6" t="s">
        <v>8</v>
      </c>
      <c r="D6">
        <v>3</v>
      </c>
      <c r="E6" t="s">
        <v>17</v>
      </c>
    </row>
    <row r="7" spans="1:5" x14ac:dyDescent="0.2">
      <c r="A7">
        <v>6</v>
      </c>
      <c r="B7" t="s">
        <v>19</v>
      </c>
      <c r="C7" t="s">
        <v>8</v>
      </c>
      <c r="D7">
        <v>0</v>
      </c>
      <c r="E7" t="s">
        <v>20</v>
      </c>
    </row>
    <row r="8" spans="1:5" x14ac:dyDescent="0.2">
      <c r="A8">
        <v>7</v>
      </c>
      <c r="B8" t="s">
        <v>21</v>
      </c>
      <c r="C8" t="s">
        <v>8</v>
      </c>
      <c r="D8">
        <v>0</v>
      </c>
      <c r="E8" t="s">
        <v>20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82BC-FD28-A048-AA32-2B12077CC2DE}">
  <sheetPr codeName="Sheet9"/>
  <dimension ref="A1:C6"/>
  <sheetViews>
    <sheetView zoomScale="135" zoomScaleNormal="135" workbookViewId="0">
      <selection activeCell="K28" sqref="K28"/>
    </sheetView>
  </sheetViews>
  <sheetFormatPr baseColWidth="10" defaultColWidth="11.1640625" defaultRowHeight="16" x14ac:dyDescent="0.2"/>
  <cols>
    <col min="1" max="1" width="5.1640625" bestFit="1" customWidth="1"/>
    <col min="2" max="2" width="18.5" bestFit="1" customWidth="1"/>
    <col min="3" max="3" width="13" bestFit="1" customWidth="1"/>
  </cols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>
        <v>1</v>
      </c>
      <c r="B2" t="s">
        <v>22</v>
      </c>
      <c r="C2" t="s">
        <v>8</v>
      </c>
    </row>
    <row r="3" spans="1:3" x14ac:dyDescent="0.2">
      <c r="A3">
        <v>2</v>
      </c>
      <c r="B3" t="s">
        <v>23</v>
      </c>
      <c r="C3" t="s">
        <v>8</v>
      </c>
    </row>
    <row r="4" spans="1:3" x14ac:dyDescent="0.2">
      <c r="A4">
        <v>3</v>
      </c>
      <c r="B4" t="s">
        <v>24</v>
      </c>
      <c r="C4" t="s">
        <v>8</v>
      </c>
    </row>
    <row r="5" spans="1:3" x14ac:dyDescent="0.2">
      <c r="A5">
        <v>4</v>
      </c>
      <c r="B5" t="s">
        <v>25</v>
      </c>
      <c r="C5" t="s">
        <v>8</v>
      </c>
    </row>
    <row r="6" spans="1:3" x14ac:dyDescent="0.2">
      <c r="A6">
        <v>5</v>
      </c>
      <c r="B6" t="s">
        <v>26</v>
      </c>
      <c r="C6" t="s">
        <v>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F996-8F9E-EF41-8632-78A1111E388B}">
  <sheetPr codeName="Sheet14">
    <tabColor rgb="FFFFFF00"/>
  </sheetPr>
  <dimension ref="A1:I61"/>
  <sheetViews>
    <sheetView workbookViewId="0">
      <selection activeCell="R44" sqref="R44"/>
    </sheetView>
  </sheetViews>
  <sheetFormatPr baseColWidth="10" defaultColWidth="11.1640625" defaultRowHeight="16" x14ac:dyDescent="0.2"/>
  <cols>
    <col min="1" max="1" width="5.1640625" bestFit="1" customWidth="1"/>
    <col min="2" max="2" width="17.1640625" bestFit="1" customWidth="1"/>
    <col min="3" max="3" width="12.83203125" bestFit="1" customWidth="1"/>
    <col min="4" max="4" width="11.6640625" bestFit="1" customWidth="1"/>
    <col min="5" max="5" width="19.1640625" bestFit="1" customWidth="1"/>
    <col min="6" max="6" width="12.33203125" bestFit="1" customWidth="1"/>
    <col min="7" max="7" width="31.33203125" bestFit="1" customWidth="1"/>
    <col min="8" max="8" width="10.1640625" bestFit="1" customWidth="1"/>
    <col min="9" max="9" width="9" bestFit="1" customWidth="1"/>
  </cols>
  <sheetData>
    <row r="1" spans="1:9" x14ac:dyDescent="0.2">
      <c r="A1" t="s">
        <v>0</v>
      </c>
      <c r="B1" t="s">
        <v>127</v>
      </c>
      <c r="C1" t="s">
        <v>128</v>
      </c>
      <c r="D1" t="s">
        <v>41</v>
      </c>
      <c r="E1" t="s">
        <v>129</v>
      </c>
      <c r="F1" t="s">
        <v>130</v>
      </c>
      <c r="G1" t="s">
        <v>131</v>
      </c>
      <c r="H1" t="s">
        <v>132</v>
      </c>
      <c r="I1" t="s">
        <v>6</v>
      </c>
    </row>
    <row r="2" spans="1:9" x14ac:dyDescent="0.2">
      <c r="A2">
        <v>1</v>
      </c>
      <c r="B2" t="s">
        <v>133</v>
      </c>
      <c r="C2" t="s">
        <v>8</v>
      </c>
      <c r="D2">
        <v>5</v>
      </c>
      <c r="E2" t="s">
        <v>134</v>
      </c>
      <c r="F2" t="s">
        <v>135</v>
      </c>
      <c r="G2" t="s">
        <v>136</v>
      </c>
      <c r="H2">
        <v>656159454</v>
      </c>
      <c r="I2" t="s">
        <v>9</v>
      </c>
    </row>
    <row r="3" spans="1:9" x14ac:dyDescent="0.2">
      <c r="A3">
        <v>2</v>
      </c>
      <c r="B3" t="s">
        <v>137</v>
      </c>
      <c r="C3" t="s">
        <v>8</v>
      </c>
      <c r="D3">
        <v>5</v>
      </c>
      <c r="E3" t="s">
        <v>138</v>
      </c>
      <c r="F3" t="s">
        <v>139</v>
      </c>
      <c r="G3" t="s">
        <v>140</v>
      </c>
      <c r="H3">
        <v>799236877</v>
      </c>
      <c r="I3" t="s">
        <v>9</v>
      </c>
    </row>
    <row r="4" spans="1:9" x14ac:dyDescent="0.2">
      <c r="A4">
        <v>3</v>
      </c>
      <c r="B4" t="s">
        <v>141</v>
      </c>
      <c r="C4" t="s">
        <v>8</v>
      </c>
      <c r="D4">
        <v>5</v>
      </c>
      <c r="E4" t="s">
        <v>142</v>
      </c>
      <c r="F4" t="s">
        <v>143</v>
      </c>
      <c r="G4" t="s">
        <v>144</v>
      </c>
      <c r="H4">
        <v>718607206</v>
      </c>
      <c r="I4" t="s">
        <v>9</v>
      </c>
    </row>
    <row r="5" spans="1:9" x14ac:dyDescent="0.2">
      <c r="A5">
        <v>4</v>
      </c>
      <c r="B5" t="s">
        <v>145</v>
      </c>
      <c r="C5" t="s">
        <v>8</v>
      </c>
      <c r="D5">
        <v>5</v>
      </c>
      <c r="E5" t="s">
        <v>146</v>
      </c>
      <c r="F5" t="s">
        <v>147</v>
      </c>
      <c r="G5" t="s">
        <v>148</v>
      </c>
      <c r="H5">
        <v>661335476</v>
      </c>
      <c r="I5" t="s">
        <v>9</v>
      </c>
    </row>
    <row r="6" spans="1:9" x14ac:dyDescent="0.2">
      <c r="A6">
        <v>5</v>
      </c>
      <c r="B6" t="s">
        <v>149</v>
      </c>
      <c r="C6" t="s">
        <v>8</v>
      </c>
      <c r="D6">
        <v>5</v>
      </c>
      <c r="E6" t="s">
        <v>150</v>
      </c>
      <c r="F6" t="s">
        <v>151</v>
      </c>
      <c r="G6" t="s">
        <v>152</v>
      </c>
      <c r="H6">
        <v>767860253</v>
      </c>
      <c r="I6" t="s">
        <v>9</v>
      </c>
    </row>
    <row r="7" spans="1:9" x14ac:dyDescent="0.2">
      <c r="A7">
        <v>6</v>
      </c>
      <c r="B7" t="s">
        <v>153</v>
      </c>
      <c r="C7" t="s">
        <v>8</v>
      </c>
      <c r="D7">
        <v>5</v>
      </c>
      <c r="E7" t="s">
        <v>154</v>
      </c>
      <c r="F7" t="s">
        <v>155</v>
      </c>
      <c r="G7" t="s">
        <v>156</v>
      </c>
      <c r="H7">
        <v>676958403</v>
      </c>
      <c r="I7" t="s">
        <v>9</v>
      </c>
    </row>
    <row r="8" spans="1:9" x14ac:dyDescent="0.2">
      <c r="A8">
        <v>7</v>
      </c>
      <c r="B8" t="s">
        <v>157</v>
      </c>
      <c r="C8" t="s">
        <v>8</v>
      </c>
      <c r="D8">
        <v>5</v>
      </c>
      <c r="E8" t="s">
        <v>158</v>
      </c>
      <c r="F8" t="s">
        <v>159</v>
      </c>
      <c r="G8" t="s">
        <v>160</v>
      </c>
      <c r="H8">
        <v>678340751</v>
      </c>
      <c r="I8" t="s">
        <v>9</v>
      </c>
    </row>
    <row r="9" spans="1:9" x14ac:dyDescent="0.2">
      <c r="A9">
        <v>8</v>
      </c>
      <c r="B9" t="s">
        <v>161</v>
      </c>
      <c r="C9" t="s">
        <v>8</v>
      </c>
      <c r="D9">
        <v>5</v>
      </c>
      <c r="E9" t="s">
        <v>162</v>
      </c>
      <c r="F9" t="s">
        <v>163</v>
      </c>
      <c r="G9" t="s">
        <v>164</v>
      </c>
      <c r="H9">
        <v>623207310</v>
      </c>
      <c r="I9" t="s">
        <v>9</v>
      </c>
    </row>
    <row r="10" spans="1:9" x14ac:dyDescent="0.2">
      <c r="A10">
        <v>9</v>
      </c>
      <c r="B10" t="s">
        <v>165</v>
      </c>
      <c r="C10" t="s">
        <v>8</v>
      </c>
      <c r="D10">
        <v>5</v>
      </c>
      <c r="E10" t="s">
        <v>166</v>
      </c>
      <c r="F10" t="s">
        <v>167</v>
      </c>
      <c r="G10" t="s">
        <v>168</v>
      </c>
      <c r="H10">
        <v>716317656</v>
      </c>
      <c r="I10" t="s">
        <v>9</v>
      </c>
    </row>
    <row r="11" spans="1:9" x14ac:dyDescent="0.2">
      <c r="A11">
        <v>10</v>
      </c>
      <c r="B11" t="s">
        <v>169</v>
      </c>
      <c r="C11" t="s">
        <v>8</v>
      </c>
      <c r="D11">
        <v>5</v>
      </c>
      <c r="E11" t="s">
        <v>170</v>
      </c>
      <c r="F11" t="s">
        <v>171</v>
      </c>
      <c r="G11" t="s">
        <v>172</v>
      </c>
      <c r="H11">
        <v>787827037</v>
      </c>
      <c r="I11" t="s">
        <v>9</v>
      </c>
    </row>
    <row r="12" spans="1:9" x14ac:dyDescent="0.2">
      <c r="A12">
        <v>11</v>
      </c>
      <c r="B12" t="s">
        <v>173</v>
      </c>
      <c r="C12" t="s">
        <v>8</v>
      </c>
      <c r="D12">
        <v>5</v>
      </c>
      <c r="E12" t="s">
        <v>174</v>
      </c>
      <c r="F12" t="s">
        <v>175</v>
      </c>
      <c r="G12" t="s">
        <v>176</v>
      </c>
      <c r="H12">
        <v>797413115</v>
      </c>
      <c r="I12" t="s">
        <v>9</v>
      </c>
    </row>
    <row r="13" spans="1:9" x14ac:dyDescent="0.2">
      <c r="A13">
        <v>12</v>
      </c>
      <c r="B13" t="s">
        <v>177</v>
      </c>
      <c r="C13" t="s">
        <v>8</v>
      </c>
      <c r="D13">
        <v>5</v>
      </c>
      <c r="E13" t="s">
        <v>178</v>
      </c>
      <c r="F13" t="s">
        <v>179</v>
      </c>
      <c r="G13" t="s">
        <v>180</v>
      </c>
      <c r="I13" t="s">
        <v>9</v>
      </c>
    </row>
    <row r="14" spans="1:9" x14ac:dyDescent="0.2">
      <c r="A14">
        <v>13</v>
      </c>
      <c r="B14" t="s">
        <v>181</v>
      </c>
      <c r="C14" t="s">
        <v>8</v>
      </c>
      <c r="D14">
        <v>5</v>
      </c>
      <c r="E14" t="s">
        <v>182</v>
      </c>
      <c r="F14" t="s">
        <v>183</v>
      </c>
      <c r="G14" t="s">
        <v>184</v>
      </c>
      <c r="H14">
        <v>685756008</v>
      </c>
      <c r="I14" t="s">
        <v>9</v>
      </c>
    </row>
    <row r="15" spans="1:9" x14ac:dyDescent="0.2">
      <c r="A15">
        <v>14</v>
      </c>
      <c r="B15" t="s">
        <v>185</v>
      </c>
      <c r="C15" t="s">
        <v>8</v>
      </c>
      <c r="D15">
        <v>5</v>
      </c>
      <c r="E15" t="s">
        <v>186</v>
      </c>
      <c r="F15" t="s">
        <v>187</v>
      </c>
      <c r="G15" t="s">
        <v>188</v>
      </c>
      <c r="H15">
        <v>694386773</v>
      </c>
      <c r="I15" t="s">
        <v>9</v>
      </c>
    </row>
    <row r="16" spans="1:9" x14ac:dyDescent="0.2">
      <c r="A16">
        <v>15</v>
      </c>
      <c r="B16" t="s">
        <v>189</v>
      </c>
      <c r="C16" t="s">
        <v>8</v>
      </c>
      <c r="D16">
        <v>5</v>
      </c>
      <c r="E16" t="s">
        <v>190</v>
      </c>
      <c r="F16" t="s">
        <v>191</v>
      </c>
      <c r="G16" t="s">
        <v>192</v>
      </c>
      <c r="H16">
        <v>764580636</v>
      </c>
      <c r="I16" t="s">
        <v>9</v>
      </c>
    </row>
    <row r="17" spans="1:9" x14ac:dyDescent="0.2">
      <c r="A17">
        <v>16</v>
      </c>
      <c r="B17" t="s">
        <v>193</v>
      </c>
      <c r="C17" t="s">
        <v>8</v>
      </c>
      <c r="D17">
        <v>5</v>
      </c>
      <c r="E17" t="s">
        <v>194</v>
      </c>
      <c r="F17" t="s">
        <v>195</v>
      </c>
      <c r="G17" t="s">
        <v>196</v>
      </c>
      <c r="H17">
        <v>664162750</v>
      </c>
      <c r="I17" t="s">
        <v>9</v>
      </c>
    </row>
    <row r="18" spans="1:9" x14ac:dyDescent="0.2">
      <c r="A18">
        <v>17</v>
      </c>
      <c r="B18" t="s">
        <v>197</v>
      </c>
      <c r="C18" t="s">
        <v>8</v>
      </c>
      <c r="D18">
        <v>5</v>
      </c>
      <c r="E18" t="s">
        <v>198</v>
      </c>
      <c r="F18" t="s">
        <v>199</v>
      </c>
      <c r="G18" t="s">
        <v>200</v>
      </c>
      <c r="H18">
        <v>717689675</v>
      </c>
      <c r="I18" t="s">
        <v>9</v>
      </c>
    </row>
    <row r="19" spans="1:9" x14ac:dyDescent="0.2">
      <c r="A19">
        <v>18</v>
      </c>
      <c r="B19" t="s">
        <v>201</v>
      </c>
      <c r="C19" t="s">
        <v>8</v>
      </c>
      <c r="D19">
        <v>5</v>
      </c>
      <c r="E19" t="s">
        <v>202</v>
      </c>
      <c r="F19" t="s">
        <v>203</v>
      </c>
      <c r="G19" t="s">
        <v>204</v>
      </c>
      <c r="H19">
        <v>698612970</v>
      </c>
      <c r="I19" t="s">
        <v>9</v>
      </c>
    </row>
    <row r="20" spans="1:9" x14ac:dyDescent="0.2">
      <c r="A20">
        <v>19</v>
      </c>
      <c r="B20" t="s">
        <v>205</v>
      </c>
      <c r="C20" t="s">
        <v>8</v>
      </c>
      <c r="D20">
        <v>5</v>
      </c>
      <c r="E20" t="s">
        <v>206</v>
      </c>
      <c r="F20" t="s">
        <v>207</v>
      </c>
      <c r="G20" t="s">
        <v>208</v>
      </c>
      <c r="H20">
        <v>747979358</v>
      </c>
      <c r="I20" t="s">
        <v>9</v>
      </c>
    </row>
    <row r="21" spans="1:9" x14ac:dyDescent="0.2">
      <c r="A21">
        <v>20</v>
      </c>
      <c r="B21" t="s">
        <v>209</v>
      </c>
      <c r="C21" t="s">
        <v>8</v>
      </c>
      <c r="D21">
        <v>5</v>
      </c>
      <c r="E21" t="s">
        <v>210</v>
      </c>
      <c r="F21" t="s">
        <v>211</v>
      </c>
      <c r="G21" t="s">
        <v>212</v>
      </c>
      <c r="H21">
        <v>687095751</v>
      </c>
      <c r="I21" t="s">
        <v>9</v>
      </c>
    </row>
    <row r="22" spans="1:9" x14ac:dyDescent="0.2">
      <c r="A22">
        <v>21</v>
      </c>
      <c r="B22" t="s">
        <v>213</v>
      </c>
      <c r="C22" t="s">
        <v>8</v>
      </c>
      <c r="D22">
        <v>5</v>
      </c>
      <c r="E22" t="s">
        <v>214</v>
      </c>
      <c r="F22" t="s">
        <v>215</v>
      </c>
      <c r="G22" t="s">
        <v>216</v>
      </c>
      <c r="I22" t="s">
        <v>9</v>
      </c>
    </row>
    <row r="23" spans="1:9" x14ac:dyDescent="0.2">
      <c r="A23">
        <v>22</v>
      </c>
      <c r="B23" t="s">
        <v>217</v>
      </c>
      <c r="C23" t="s">
        <v>8</v>
      </c>
      <c r="D23">
        <v>5</v>
      </c>
      <c r="E23" t="s">
        <v>218</v>
      </c>
      <c r="F23" t="s">
        <v>219</v>
      </c>
      <c r="G23" t="s">
        <v>220</v>
      </c>
      <c r="H23">
        <v>763030549</v>
      </c>
      <c r="I23" t="s">
        <v>9</v>
      </c>
    </row>
    <row r="24" spans="1:9" x14ac:dyDescent="0.2">
      <c r="A24">
        <v>23</v>
      </c>
      <c r="B24" t="s">
        <v>221</v>
      </c>
      <c r="C24" t="s">
        <v>8</v>
      </c>
      <c r="D24">
        <v>5</v>
      </c>
      <c r="E24" t="s">
        <v>222</v>
      </c>
      <c r="F24" t="s">
        <v>223</v>
      </c>
      <c r="G24" t="s">
        <v>224</v>
      </c>
      <c r="I24" t="s">
        <v>9</v>
      </c>
    </row>
    <row r="25" spans="1:9" x14ac:dyDescent="0.2">
      <c r="A25">
        <v>24</v>
      </c>
      <c r="B25" t="s">
        <v>225</v>
      </c>
      <c r="C25" t="s">
        <v>8</v>
      </c>
      <c r="D25">
        <v>5</v>
      </c>
      <c r="E25" t="s">
        <v>226</v>
      </c>
      <c r="F25" t="s">
        <v>227</v>
      </c>
      <c r="G25" t="s">
        <v>228</v>
      </c>
      <c r="H25">
        <v>684066481</v>
      </c>
      <c r="I25" t="s">
        <v>9</v>
      </c>
    </row>
    <row r="26" spans="1:9" x14ac:dyDescent="0.2">
      <c r="A26">
        <v>25</v>
      </c>
      <c r="B26" t="s">
        <v>229</v>
      </c>
      <c r="C26" t="s">
        <v>8</v>
      </c>
      <c r="D26">
        <v>5</v>
      </c>
      <c r="E26" t="s">
        <v>230</v>
      </c>
      <c r="F26" t="s">
        <v>231</v>
      </c>
      <c r="G26" t="s">
        <v>232</v>
      </c>
      <c r="H26">
        <v>763037889</v>
      </c>
      <c r="I26" t="s">
        <v>9</v>
      </c>
    </row>
    <row r="27" spans="1:9" x14ac:dyDescent="0.2">
      <c r="A27">
        <v>26</v>
      </c>
      <c r="B27" t="s">
        <v>233</v>
      </c>
      <c r="C27" t="s">
        <v>8</v>
      </c>
      <c r="D27">
        <v>5</v>
      </c>
      <c r="E27" t="s">
        <v>234</v>
      </c>
      <c r="F27" t="s">
        <v>231</v>
      </c>
      <c r="G27" t="s">
        <v>235</v>
      </c>
      <c r="I27" t="s">
        <v>9</v>
      </c>
    </row>
    <row r="28" spans="1:9" x14ac:dyDescent="0.2">
      <c r="A28">
        <v>27</v>
      </c>
      <c r="B28" t="s">
        <v>236</v>
      </c>
      <c r="C28" t="s">
        <v>8</v>
      </c>
      <c r="D28">
        <v>5</v>
      </c>
      <c r="E28" t="s">
        <v>237</v>
      </c>
      <c r="F28" t="s">
        <v>238</v>
      </c>
      <c r="G28" t="s">
        <v>239</v>
      </c>
      <c r="H28">
        <v>731541138</v>
      </c>
      <c r="I28" t="s">
        <v>9</v>
      </c>
    </row>
    <row r="29" spans="1:9" x14ac:dyDescent="0.2">
      <c r="A29">
        <v>28</v>
      </c>
      <c r="B29" t="s">
        <v>240</v>
      </c>
      <c r="C29" t="s">
        <v>8</v>
      </c>
      <c r="D29">
        <v>5</v>
      </c>
      <c r="E29" t="s">
        <v>241</v>
      </c>
      <c r="F29" t="s">
        <v>242</v>
      </c>
      <c r="G29" t="s">
        <v>243</v>
      </c>
      <c r="H29">
        <v>634345494</v>
      </c>
      <c r="I29" t="s">
        <v>9</v>
      </c>
    </row>
    <row r="30" spans="1:9" x14ac:dyDescent="0.2">
      <c r="A30">
        <v>29</v>
      </c>
      <c r="B30" t="s">
        <v>244</v>
      </c>
      <c r="C30" t="s">
        <v>8</v>
      </c>
      <c r="D30">
        <v>5</v>
      </c>
      <c r="E30" t="s">
        <v>245</v>
      </c>
      <c r="F30" t="s">
        <v>246</v>
      </c>
      <c r="G30" t="s">
        <v>247</v>
      </c>
      <c r="H30">
        <v>735468341</v>
      </c>
      <c r="I30" t="s">
        <v>9</v>
      </c>
    </row>
    <row r="31" spans="1:9" x14ac:dyDescent="0.2">
      <c r="A31">
        <v>30</v>
      </c>
      <c r="B31" t="s">
        <v>248</v>
      </c>
      <c r="C31" t="s">
        <v>8</v>
      </c>
      <c r="D31">
        <v>5</v>
      </c>
      <c r="E31" t="s">
        <v>249</v>
      </c>
      <c r="F31" t="s">
        <v>246</v>
      </c>
      <c r="G31" t="s">
        <v>250</v>
      </c>
      <c r="H31">
        <v>791552961</v>
      </c>
      <c r="I31" t="s">
        <v>9</v>
      </c>
    </row>
    <row r="32" spans="1:9" x14ac:dyDescent="0.2">
      <c r="A32">
        <v>31</v>
      </c>
      <c r="B32" t="s">
        <v>251</v>
      </c>
      <c r="C32" t="s">
        <v>8</v>
      </c>
      <c r="D32">
        <v>5</v>
      </c>
      <c r="E32" t="s">
        <v>252</v>
      </c>
      <c r="F32" t="s">
        <v>253</v>
      </c>
      <c r="G32" t="s">
        <v>254</v>
      </c>
      <c r="H32">
        <v>738201924</v>
      </c>
      <c r="I32" t="s">
        <v>9</v>
      </c>
    </row>
    <row r="33" spans="1:9" x14ac:dyDescent="0.2">
      <c r="A33">
        <v>32</v>
      </c>
      <c r="B33" t="s">
        <v>255</v>
      </c>
      <c r="C33" t="s">
        <v>8</v>
      </c>
      <c r="D33">
        <v>5</v>
      </c>
      <c r="E33" t="s">
        <v>256</v>
      </c>
      <c r="F33" t="s">
        <v>257</v>
      </c>
      <c r="G33" t="s">
        <v>258</v>
      </c>
      <c r="H33">
        <v>764748608</v>
      </c>
      <c r="I33" t="s">
        <v>9</v>
      </c>
    </row>
    <row r="34" spans="1:9" x14ac:dyDescent="0.2">
      <c r="A34">
        <v>33</v>
      </c>
      <c r="B34" t="s">
        <v>259</v>
      </c>
      <c r="C34" t="s">
        <v>8</v>
      </c>
      <c r="D34">
        <v>5</v>
      </c>
      <c r="E34" t="s">
        <v>260</v>
      </c>
      <c r="F34" t="s">
        <v>261</v>
      </c>
      <c r="G34" t="s">
        <v>262</v>
      </c>
      <c r="H34">
        <v>810353895</v>
      </c>
      <c r="I34" t="s">
        <v>9</v>
      </c>
    </row>
    <row r="35" spans="1:9" x14ac:dyDescent="0.2">
      <c r="A35">
        <v>34</v>
      </c>
      <c r="B35" t="s">
        <v>263</v>
      </c>
      <c r="C35" t="s">
        <v>8</v>
      </c>
      <c r="D35">
        <v>5</v>
      </c>
      <c r="E35" t="s">
        <v>264</v>
      </c>
      <c r="F35" t="s">
        <v>265</v>
      </c>
      <c r="G35" t="s">
        <v>266</v>
      </c>
      <c r="H35">
        <v>635337087</v>
      </c>
      <c r="I35" t="s">
        <v>9</v>
      </c>
    </row>
    <row r="36" spans="1:9" x14ac:dyDescent="0.2">
      <c r="A36">
        <v>35</v>
      </c>
      <c r="B36" t="s">
        <v>267</v>
      </c>
      <c r="C36" t="s">
        <v>8</v>
      </c>
      <c r="D36">
        <v>5</v>
      </c>
      <c r="E36" t="s">
        <v>268</v>
      </c>
      <c r="F36" t="s">
        <v>269</v>
      </c>
      <c r="G36" t="s">
        <v>270</v>
      </c>
      <c r="H36">
        <v>657455701</v>
      </c>
      <c r="I36" t="s">
        <v>9</v>
      </c>
    </row>
    <row r="37" spans="1:9" x14ac:dyDescent="0.2">
      <c r="A37">
        <v>36</v>
      </c>
      <c r="B37" t="s">
        <v>271</v>
      </c>
      <c r="C37" t="s">
        <v>8</v>
      </c>
      <c r="D37">
        <v>5</v>
      </c>
      <c r="E37" t="s">
        <v>272</v>
      </c>
      <c r="F37" t="s">
        <v>273</v>
      </c>
      <c r="G37" t="s">
        <v>274</v>
      </c>
      <c r="I37" t="s">
        <v>9</v>
      </c>
    </row>
    <row r="38" spans="1:9" x14ac:dyDescent="0.2">
      <c r="A38">
        <v>37</v>
      </c>
      <c r="B38" t="s">
        <v>275</v>
      </c>
      <c r="C38" t="s">
        <v>8</v>
      </c>
      <c r="D38">
        <v>5</v>
      </c>
      <c r="E38" t="s">
        <v>276</v>
      </c>
      <c r="F38" t="s">
        <v>277</v>
      </c>
      <c r="G38" t="s">
        <v>278</v>
      </c>
      <c r="H38">
        <v>719400928</v>
      </c>
      <c r="I38" t="s">
        <v>9</v>
      </c>
    </row>
    <row r="39" spans="1:9" x14ac:dyDescent="0.2">
      <c r="A39">
        <v>38</v>
      </c>
      <c r="B39" t="s">
        <v>279</v>
      </c>
      <c r="C39" t="s">
        <v>8</v>
      </c>
      <c r="D39">
        <v>5</v>
      </c>
      <c r="E39" t="s">
        <v>280</v>
      </c>
      <c r="F39" t="s">
        <v>281</v>
      </c>
      <c r="G39" t="s">
        <v>282</v>
      </c>
      <c r="I39" t="s">
        <v>9</v>
      </c>
    </row>
    <row r="40" spans="1:9" x14ac:dyDescent="0.2">
      <c r="A40">
        <v>39</v>
      </c>
      <c r="B40" t="s">
        <v>283</v>
      </c>
      <c r="C40" t="s">
        <v>8</v>
      </c>
      <c r="D40">
        <v>5</v>
      </c>
      <c r="E40" t="s">
        <v>280</v>
      </c>
      <c r="F40" t="s">
        <v>284</v>
      </c>
      <c r="G40" t="s">
        <v>285</v>
      </c>
      <c r="H40">
        <v>663311224</v>
      </c>
      <c r="I40" t="s">
        <v>9</v>
      </c>
    </row>
    <row r="41" spans="1:9" x14ac:dyDescent="0.2">
      <c r="A41">
        <v>40</v>
      </c>
      <c r="B41" t="s">
        <v>286</v>
      </c>
      <c r="C41" t="s">
        <v>8</v>
      </c>
      <c r="D41">
        <v>5</v>
      </c>
      <c r="E41" t="s">
        <v>287</v>
      </c>
      <c r="F41" t="s">
        <v>288</v>
      </c>
      <c r="G41" t="s">
        <v>289</v>
      </c>
      <c r="H41">
        <v>670860967</v>
      </c>
      <c r="I41" t="s">
        <v>9</v>
      </c>
    </row>
    <row r="42" spans="1:9" x14ac:dyDescent="0.2">
      <c r="A42">
        <v>41</v>
      </c>
      <c r="B42" t="s">
        <v>290</v>
      </c>
      <c r="C42" t="s">
        <v>8</v>
      </c>
      <c r="D42">
        <v>5</v>
      </c>
      <c r="E42" t="s">
        <v>291</v>
      </c>
      <c r="F42" t="s">
        <v>292</v>
      </c>
      <c r="G42" t="s">
        <v>293</v>
      </c>
      <c r="H42">
        <v>681232349</v>
      </c>
      <c r="I42" t="s">
        <v>9</v>
      </c>
    </row>
    <row r="43" spans="1:9" x14ac:dyDescent="0.2">
      <c r="A43">
        <v>42</v>
      </c>
      <c r="B43" t="s">
        <v>294</v>
      </c>
      <c r="C43" t="s">
        <v>8</v>
      </c>
      <c r="D43">
        <v>5</v>
      </c>
      <c r="E43" t="s">
        <v>295</v>
      </c>
      <c r="F43" t="s">
        <v>296</v>
      </c>
      <c r="G43" t="s">
        <v>297</v>
      </c>
      <c r="H43">
        <v>683175809</v>
      </c>
      <c r="I43" t="s">
        <v>9</v>
      </c>
    </row>
    <row r="44" spans="1:9" x14ac:dyDescent="0.2">
      <c r="A44">
        <v>43</v>
      </c>
      <c r="B44" t="s">
        <v>298</v>
      </c>
      <c r="C44" t="s">
        <v>8</v>
      </c>
      <c r="D44">
        <v>5</v>
      </c>
      <c r="E44" t="s">
        <v>299</v>
      </c>
      <c r="F44" t="s">
        <v>300</v>
      </c>
      <c r="G44" t="s">
        <v>301</v>
      </c>
      <c r="H44">
        <v>634268447</v>
      </c>
      <c r="I44" t="s">
        <v>9</v>
      </c>
    </row>
    <row r="45" spans="1:9" x14ac:dyDescent="0.2">
      <c r="A45">
        <v>44</v>
      </c>
      <c r="B45" t="s">
        <v>302</v>
      </c>
      <c r="C45" t="s">
        <v>8</v>
      </c>
      <c r="D45">
        <v>5</v>
      </c>
      <c r="E45" t="s">
        <v>303</v>
      </c>
      <c r="F45" t="s">
        <v>304</v>
      </c>
      <c r="G45" t="s">
        <v>305</v>
      </c>
      <c r="H45">
        <v>734438395</v>
      </c>
      <c r="I45" t="s">
        <v>9</v>
      </c>
    </row>
    <row r="46" spans="1:9" x14ac:dyDescent="0.2">
      <c r="A46">
        <v>45</v>
      </c>
      <c r="B46" t="s">
        <v>306</v>
      </c>
      <c r="C46" t="s">
        <v>8</v>
      </c>
      <c r="D46">
        <v>5</v>
      </c>
      <c r="E46" t="s">
        <v>307</v>
      </c>
      <c r="F46" t="s">
        <v>308</v>
      </c>
      <c r="G46" t="s">
        <v>309</v>
      </c>
      <c r="H46">
        <v>795644570</v>
      </c>
      <c r="I46" t="s">
        <v>9</v>
      </c>
    </row>
    <row r="47" spans="1:9" x14ac:dyDescent="0.2">
      <c r="A47">
        <v>46</v>
      </c>
      <c r="B47" t="s">
        <v>310</v>
      </c>
      <c r="C47" t="s">
        <v>8</v>
      </c>
      <c r="D47">
        <v>5</v>
      </c>
      <c r="E47" t="s">
        <v>311</v>
      </c>
      <c r="F47" t="s">
        <v>312</v>
      </c>
      <c r="G47" t="s">
        <v>313</v>
      </c>
      <c r="H47">
        <v>718018280</v>
      </c>
      <c r="I47" t="s">
        <v>9</v>
      </c>
    </row>
    <row r="48" spans="1:9" x14ac:dyDescent="0.2">
      <c r="A48">
        <v>47</v>
      </c>
      <c r="B48" t="s">
        <v>314</v>
      </c>
      <c r="C48" t="s">
        <v>8</v>
      </c>
      <c r="D48">
        <v>5</v>
      </c>
      <c r="E48" t="s">
        <v>315</v>
      </c>
      <c r="F48" t="s">
        <v>312</v>
      </c>
      <c r="G48" t="s">
        <v>316</v>
      </c>
      <c r="H48">
        <v>810655968</v>
      </c>
      <c r="I48" t="s">
        <v>9</v>
      </c>
    </row>
    <row r="49" spans="1:9" x14ac:dyDescent="0.2">
      <c r="A49">
        <v>48</v>
      </c>
      <c r="B49" t="s">
        <v>317</v>
      </c>
      <c r="C49" t="s">
        <v>8</v>
      </c>
      <c r="D49">
        <v>5</v>
      </c>
      <c r="E49" t="s">
        <v>318</v>
      </c>
      <c r="F49" t="s">
        <v>312</v>
      </c>
      <c r="G49" t="s">
        <v>319</v>
      </c>
      <c r="H49">
        <v>814519254</v>
      </c>
      <c r="I49" t="s">
        <v>9</v>
      </c>
    </row>
    <row r="50" spans="1:9" x14ac:dyDescent="0.2">
      <c r="A50">
        <v>49</v>
      </c>
      <c r="B50" t="s">
        <v>320</v>
      </c>
      <c r="C50" t="s">
        <v>8</v>
      </c>
      <c r="D50">
        <v>5</v>
      </c>
      <c r="E50" t="s">
        <v>321</v>
      </c>
      <c r="F50" t="s">
        <v>312</v>
      </c>
      <c r="G50" t="s">
        <v>322</v>
      </c>
      <c r="H50">
        <v>717072917</v>
      </c>
      <c r="I50" t="s">
        <v>9</v>
      </c>
    </row>
    <row r="51" spans="1:9" x14ac:dyDescent="0.2">
      <c r="A51">
        <v>50</v>
      </c>
      <c r="B51" t="s">
        <v>323</v>
      </c>
      <c r="C51" t="s">
        <v>8</v>
      </c>
      <c r="D51">
        <v>5</v>
      </c>
      <c r="E51" t="s">
        <v>324</v>
      </c>
      <c r="F51" t="s">
        <v>325</v>
      </c>
      <c r="G51" t="s">
        <v>326</v>
      </c>
      <c r="H51">
        <v>656042208</v>
      </c>
      <c r="I51" t="s">
        <v>9</v>
      </c>
    </row>
    <row r="52" spans="1:9" x14ac:dyDescent="0.2">
      <c r="A52">
        <v>51</v>
      </c>
      <c r="B52" t="s">
        <v>327</v>
      </c>
      <c r="C52" t="s">
        <v>8</v>
      </c>
      <c r="D52">
        <v>5</v>
      </c>
      <c r="E52" t="s">
        <v>328</v>
      </c>
      <c r="F52" t="s">
        <v>329</v>
      </c>
      <c r="G52" t="s">
        <v>330</v>
      </c>
      <c r="H52">
        <v>635213033</v>
      </c>
      <c r="I52" t="s">
        <v>9</v>
      </c>
    </row>
    <row r="53" spans="1:9" x14ac:dyDescent="0.2">
      <c r="A53">
        <v>52</v>
      </c>
      <c r="B53" t="s">
        <v>331</v>
      </c>
      <c r="C53" t="s">
        <v>8</v>
      </c>
      <c r="D53">
        <v>5</v>
      </c>
      <c r="E53" t="s">
        <v>332</v>
      </c>
      <c r="F53" t="s">
        <v>333</v>
      </c>
      <c r="G53" t="s">
        <v>334</v>
      </c>
      <c r="I53" t="s">
        <v>9</v>
      </c>
    </row>
    <row r="54" spans="1:9" x14ac:dyDescent="0.2">
      <c r="A54">
        <v>53</v>
      </c>
      <c r="B54" t="s">
        <v>335</v>
      </c>
      <c r="C54" t="s">
        <v>8</v>
      </c>
      <c r="D54">
        <v>5</v>
      </c>
      <c r="E54" t="s">
        <v>336</v>
      </c>
      <c r="F54" t="s">
        <v>337</v>
      </c>
      <c r="G54" t="s">
        <v>338</v>
      </c>
      <c r="I54" t="s">
        <v>9</v>
      </c>
    </row>
    <row r="55" spans="1:9" x14ac:dyDescent="0.2">
      <c r="A55">
        <v>54</v>
      </c>
      <c r="B55" t="s">
        <v>339</v>
      </c>
      <c r="C55" t="s">
        <v>8</v>
      </c>
      <c r="D55">
        <v>5</v>
      </c>
      <c r="E55" t="s">
        <v>318</v>
      </c>
      <c r="F55" t="s">
        <v>340</v>
      </c>
      <c r="G55" t="s">
        <v>341</v>
      </c>
      <c r="H55">
        <v>822309550</v>
      </c>
      <c r="I55" t="s">
        <v>9</v>
      </c>
    </row>
    <row r="56" spans="1:9" x14ac:dyDescent="0.2">
      <c r="A56">
        <v>55</v>
      </c>
      <c r="B56" t="s">
        <v>342</v>
      </c>
      <c r="C56" t="s">
        <v>8</v>
      </c>
      <c r="D56">
        <v>5</v>
      </c>
      <c r="E56" t="s">
        <v>343</v>
      </c>
      <c r="F56" t="s">
        <v>344</v>
      </c>
      <c r="G56" t="s">
        <v>345</v>
      </c>
      <c r="H56">
        <v>735061408</v>
      </c>
      <c r="I56" t="s">
        <v>9</v>
      </c>
    </row>
    <row r="57" spans="1:9" x14ac:dyDescent="0.2">
      <c r="A57">
        <v>56</v>
      </c>
      <c r="B57" t="s">
        <v>346</v>
      </c>
      <c r="C57" t="s">
        <v>8</v>
      </c>
      <c r="D57">
        <v>5</v>
      </c>
      <c r="E57" t="s">
        <v>347</v>
      </c>
      <c r="F57" t="s">
        <v>348</v>
      </c>
      <c r="G57" t="s">
        <v>349</v>
      </c>
      <c r="H57">
        <v>606100802</v>
      </c>
      <c r="I57" t="s">
        <v>9</v>
      </c>
    </row>
    <row r="58" spans="1:9" x14ac:dyDescent="0.2">
      <c r="A58">
        <v>57</v>
      </c>
      <c r="B58" t="s">
        <v>350</v>
      </c>
      <c r="C58" t="s">
        <v>8</v>
      </c>
      <c r="D58">
        <v>5</v>
      </c>
      <c r="E58" t="s">
        <v>351</v>
      </c>
      <c r="F58" t="s">
        <v>352</v>
      </c>
      <c r="G58" t="s">
        <v>353</v>
      </c>
      <c r="H58">
        <v>680240291</v>
      </c>
      <c r="I58" t="s">
        <v>9</v>
      </c>
    </row>
    <row r="59" spans="1:9" x14ac:dyDescent="0.2">
      <c r="A59">
        <v>58</v>
      </c>
      <c r="B59" t="s">
        <v>354</v>
      </c>
      <c r="C59" t="s">
        <v>8</v>
      </c>
      <c r="D59">
        <v>5</v>
      </c>
      <c r="E59" t="s">
        <v>355</v>
      </c>
      <c r="F59" t="s">
        <v>356</v>
      </c>
      <c r="G59" t="s">
        <v>357</v>
      </c>
      <c r="I59" t="s">
        <v>9</v>
      </c>
    </row>
    <row r="60" spans="1:9" x14ac:dyDescent="0.2">
      <c r="A60">
        <v>59</v>
      </c>
      <c r="B60" t="s">
        <v>358</v>
      </c>
      <c r="C60" t="s">
        <v>8</v>
      </c>
      <c r="D60">
        <v>5</v>
      </c>
      <c r="E60" t="s">
        <v>359</v>
      </c>
      <c r="F60" t="s">
        <v>360</v>
      </c>
      <c r="G60" t="s">
        <v>361</v>
      </c>
      <c r="H60">
        <v>787867157</v>
      </c>
      <c r="I60" t="s">
        <v>9</v>
      </c>
    </row>
    <row r="61" spans="1:9" x14ac:dyDescent="0.2">
      <c r="A61">
        <v>60</v>
      </c>
      <c r="B61" t="s">
        <v>362</v>
      </c>
      <c r="C61" t="s">
        <v>8</v>
      </c>
      <c r="D61">
        <v>5</v>
      </c>
      <c r="E61" t="s">
        <v>363</v>
      </c>
      <c r="F61" t="s">
        <v>364</v>
      </c>
      <c r="G61" t="s">
        <v>365</v>
      </c>
      <c r="H61">
        <v>677647132</v>
      </c>
      <c r="I61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8B3EEC-E95E-5E42-A51D-9F0CBF2A5D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Faculties</vt:lpstr>
      <vt:lpstr>Programs</vt:lpstr>
      <vt:lpstr>Courses</vt:lpstr>
      <vt:lpstr>Course_Schedules</vt:lpstr>
      <vt:lpstr>Session_type</vt:lpstr>
      <vt:lpstr>Staff</vt:lpstr>
      <vt:lpstr>wp_nds_rooms</vt:lpstr>
      <vt:lpstr>Accreditation_Bodies</vt:lpstr>
      <vt:lpstr>Course_Accreditations</vt:lpstr>
      <vt:lpstr>Program_Types</vt:lpstr>
      <vt:lpstr>Course_Categories</vt:lpstr>
      <vt:lpstr>Students</vt:lpstr>
      <vt:lpstr>Accreditation_Bodies!acc_bodies</vt:lpstr>
      <vt:lpstr>acc_bodies</vt:lpstr>
      <vt:lpstr>courses_list</vt:lpstr>
      <vt:lpstr>faculties_list</vt:lpstr>
      <vt:lpstr>pro_types</vt:lpstr>
      <vt:lpstr>programs_list</vt:lpstr>
      <vt:lpstr>rooms_list</vt:lpstr>
      <vt:lpstr>session_type_list</vt:lpstr>
      <vt:lpstr>staff_list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Thando Hlophe</dc:creator>
  <cp:lastModifiedBy>Thando Hlophe</cp:lastModifiedBy>
  <dcterms:created xsi:type="dcterms:W3CDTF">2026-01-24T08:51:08Z</dcterms:created>
  <dcterms:modified xsi:type="dcterms:W3CDTF">2026-02-02T19:30:45Z</dcterms:modified>
</cp:coreProperties>
</file>